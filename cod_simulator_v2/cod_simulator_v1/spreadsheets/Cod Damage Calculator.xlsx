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age Calculator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9">
      <text>
        <t xml:space="preserve">Type the number associated with the troop type advantage you have.
Advantage = 1
None = 0
Disadvantage = -1</t>
      </text>
    </comment>
    <comment authorId="0" ref="F9">
      <text>
        <t xml:space="preserve">Type the number associated with the troop type advantage you have.
Advantage = 1
None = 0
Disadvantage = -1</t>
      </text>
    </comment>
  </commentList>
</comments>
</file>

<file path=xl/sharedStrings.xml><?xml version="1.0" encoding="utf-8"?>
<sst xmlns="http://schemas.openxmlformats.org/spreadsheetml/2006/main" count="55" uniqueCount="35">
  <si>
    <t>PvP Calculator</t>
  </si>
  <si>
    <t>Normal Attack</t>
  </si>
  <si>
    <t>Enemy Normal Attack</t>
  </si>
  <si>
    <t>Counterattack</t>
  </si>
  <si>
    <t>Enemy Counterattack</t>
  </si>
  <si>
    <t>Hero Skill</t>
  </si>
  <si>
    <t>Enemy Hero Skill</t>
  </si>
  <si>
    <t>Your Total Kills</t>
  </si>
  <si>
    <t>Enemy’s Total Kills</t>
  </si>
  <si>
    <t>Your Army</t>
  </si>
  <si>
    <t>Enemy’s Army</t>
  </si>
  <si>
    <t>Unit Count</t>
  </si>
  <si>
    <t>Troop Advantage (-1,0,1)</t>
  </si>
  <si>
    <t># Surrounding</t>
  </si>
  <si>
    <t>H.Skill Dmg Factor</t>
  </si>
  <si>
    <t>Your Troop’s Stats</t>
  </si>
  <si>
    <t>Enemy Troop’s Stats</t>
  </si>
  <si>
    <t>Base Atk</t>
  </si>
  <si>
    <t>Base Def</t>
  </si>
  <si>
    <t>Base HP</t>
  </si>
  <si>
    <t>Atk Mod</t>
  </si>
  <si>
    <t>Def Mod</t>
  </si>
  <si>
    <t>HP Mod</t>
  </si>
  <si>
    <t>Dmg Mod</t>
  </si>
  <si>
    <t>N.Atk Dmg Mod</t>
  </si>
  <si>
    <t>Skill Dmg Mod</t>
  </si>
  <si>
    <t>Counterattack Dmg Mod</t>
  </si>
  <si>
    <t>Damage Reduction Buff</t>
  </si>
  <si>
    <t>S.Atk Dmg Taken Mod</t>
  </si>
  <si>
    <t>C.Atk Dmg Taken Mod</t>
  </si>
  <si>
    <t>Debuffs On Your Army</t>
  </si>
  <si>
    <t>Debuffs On Enemy Army</t>
  </si>
  <si>
    <t>Attack Reduction Debuff</t>
  </si>
  <si>
    <t>Defence Reduction Debuff</t>
  </si>
  <si>
    <t>Damage Reduction Debuff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</si>
</sst>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"/>
  </numFmts>
  <fonts count="7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color theme="1"/>
      <name val="Arial"/>
    </font>
    <font>
      <b/>
      <sz val="14.0"/>
      <color theme="1"/>
      <name val="Arial"/>
    </font>
    <font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</fills>
  <borders count="14">
    <border/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right style="medium">
        <color rgb="FF000000"/>
      </right>
      <bottom style="thin">
        <color rgb="FFFFFFFF"/>
      </bottom>
    </border>
    <border>
      <bottom style="thin">
        <color rgb="FFFFFFFF"/>
      </bottom>
    </border>
    <border>
      <right style="thick">
        <color rgb="FF000000"/>
      </right>
      <bottom style="thin">
        <color rgb="FFFFFFFF"/>
      </bottom>
    </border>
    <border>
      <left style="thick">
        <color rgb="FF000000"/>
      </left>
      <right style="thin">
        <color rgb="FFFFFFFF"/>
      </right>
      <bottom style="thin">
        <color rgb="FFFFFFFF"/>
      </bottom>
    </border>
    <border>
      <left style="thick">
        <color rgb="FF000000"/>
      </left>
      <bottom style="thick">
        <color rgb="FF000000"/>
      </bottom>
    </border>
    <border>
      <right style="thin">
        <color rgb="FFFFFFFF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bottom"/>
    </xf>
    <xf borderId="5" fillId="0" fontId="2" numFmtId="0" xfId="0" applyBorder="1" applyFont="1"/>
    <xf borderId="6" fillId="0" fontId="3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8" fillId="0" fontId="3" numFmtId="0" xfId="0" applyAlignment="1" applyBorder="1" applyFont="1">
      <alignment horizontal="center" vertical="bottom"/>
    </xf>
    <xf borderId="9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8" fillId="0" fontId="4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7" fillId="0" fontId="2" numFmtId="0" xfId="0" applyBorder="1" applyFont="1"/>
    <xf borderId="6" fillId="0" fontId="2" numFmtId="0" xfId="0" applyBorder="1" applyFont="1"/>
    <xf borderId="7" fillId="0" fontId="5" numFmtId="0" xfId="0" applyAlignment="1" applyBorder="1" applyFont="1">
      <alignment horizontal="center" vertical="bottom"/>
    </xf>
    <xf borderId="8" fillId="0" fontId="2" numFmtId="0" xfId="0" applyBorder="1" applyFont="1"/>
    <xf borderId="6" fillId="0" fontId="6" numFmtId="164" xfId="0" applyAlignment="1" applyBorder="1" applyFont="1" applyNumberFormat="1">
      <alignment horizontal="center" vertical="bottom"/>
    </xf>
    <xf borderId="8" fillId="0" fontId="6" numFmtId="164" xfId="0" applyAlignment="1" applyBorder="1" applyFont="1" applyNumberFormat="1">
      <alignment horizontal="center" vertical="bottom"/>
    </xf>
    <xf borderId="6" fillId="0" fontId="6" numFmtId="0" xfId="0" applyAlignment="1" applyBorder="1" applyFont="1">
      <alignment horizontal="center" vertical="bottom"/>
    </xf>
    <xf borderId="8" fillId="0" fontId="6" numFmtId="0" xfId="0" applyAlignment="1" applyBorder="1" applyFont="1">
      <alignment horizontal="center" vertical="bottom"/>
    </xf>
    <xf borderId="6" fillId="0" fontId="4" numFmtId="164" xfId="0" applyAlignment="1" applyBorder="1" applyFont="1" applyNumberFormat="1">
      <alignment vertical="bottom"/>
    </xf>
    <xf borderId="8" fillId="0" fontId="4" numFmtId="164" xfId="0" applyAlignment="1" applyBorder="1" applyFont="1" applyNumberFormat="1">
      <alignment vertical="bottom"/>
    </xf>
    <xf borderId="5" fillId="0" fontId="4" numFmtId="0" xfId="0" applyBorder="1" applyFont="1"/>
    <xf borderId="8" fillId="0" fontId="4" numFmtId="0" xfId="0" applyBorder="1" applyFont="1"/>
    <xf borderId="7" fillId="0" fontId="6" numFmtId="0" xfId="0" applyAlignment="1" applyBorder="1" applyFont="1">
      <alignment horizontal="center" vertical="bottom"/>
    </xf>
    <xf borderId="5" fillId="0" fontId="4" numFmtId="9" xfId="0" applyAlignment="1" applyBorder="1" applyFont="1" applyNumberFormat="1">
      <alignment vertical="bottom"/>
    </xf>
    <xf borderId="10" fillId="0" fontId="3" numFmtId="0" xfId="0" applyAlignment="1" applyBorder="1" applyFont="1">
      <alignment horizontal="center" vertical="bottom"/>
    </xf>
    <xf borderId="11" fillId="0" fontId="2" numFmtId="0" xfId="0" applyBorder="1" applyFont="1"/>
    <xf borderId="12" fillId="0" fontId="6" numFmtId="0" xfId="0" applyAlignment="1" applyBorder="1" applyFont="1">
      <alignment horizontal="center" vertical="bottom"/>
    </xf>
    <xf borderId="13" fillId="0" fontId="3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/>
      <c r="C2" s="6">
        <f>ROUNDUP((((((((C8*((C14*(100%+C17-C29))*(100%+C20+C21-F24-C31))))/(F15*(100%+F18-F30)))/(F16*(100%+F19)))*2)*SQRT(10000/C8))*(100%))*IF(C9=1,105%,IF(C9=0,100%,IF(C9=-1,95%))),0)</f>
        <v>186</v>
      </c>
      <c r="D2" s="7" t="s">
        <v>2</v>
      </c>
      <c r="E2" s="5"/>
      <c r="F2" s="8">
        <f>ROUNDUP((((((((F8*((F14*(100%+F17-F29))*(100%+F20+F21-C24-F31+IF(F10&lt;2,0%,IF(F10=2,2%,IF(F10=3,5%,IF(F10=4,10%,IF(F10=5,15%,IF(F10&gt;5,15%))))))))))/(C15*(100%+C18-C30)))/(C16*(100%+C19)))*2)*SQRT(10000/F8))*(100%))*IF(F9=1,105%,IF(F9=0,100%,IF(F9=-1,95%))),0)</f>
        <v>186</v>
      </c>
    </row>
    <row r="3">
      <c r="A3" s="4" t="s">
        <v>3</v>
      </c>
      <c r="B3" s="5"/>
      <c r="C3" s="6">
        <f>ROUNDUP(((((((C8*((C14*(100%+C17-C29))*(100%+C20+C23-F24-F26-C31+IF(C10&lt;2,0%,IF(C10=2,2%,IF(C10=3,5%,IF(C10=4,10%,IF(C10=5,15%,IF(C10&gt;5,15%)))))))/(F15*(100%+F18-F30)))/(F16*(100%+F19)))*2)*SQRT(10000/C8))*(100%))*IF(C9=1,105%,IF(C9=0,100%,IF(C9=-1,95%))))),0)</f>
        <v>186</v>
      </c>
      <c r="D3" s="7" t="s">
        <v>4</v>
      </c>
      <c r="E3" s="5"/>
      <c r="F3" s="8">
        <f>ROUNDUP(((((((F8*((F14*(100%+F17-F29))*(100%+F20+F23-C24-C26-C31+IF(F10&lt;2,0%,IF(F10=2,2%,IF(F10=3,5%,IF(F10=4,10%,IF(F10=5,15%,IF(F10&gt;5,15%)))))))/(C15*(100%+C18-C30)))/(C16*(100%+C19)))*2)*SQRT(10000/F8))*(100%))*IF(F9=1,105%,IF(F9=0,100%,IF(F9=-1,95%))))),0)</f>
        <v>186</v>
      </c>
    </row>
    <row r="4">
      <c r="A4" s="4" t="s">
        <v>5</v>
      </c>
      <c r="B4" s="5"/>
      <c r="C4" s="6">
        <f>ROUNDUP((((((C8*((C14*(100%+C17-C29))*(100%+C20+C22-F24-F25-C31+IF(C10&lt;2,0%,IF(C10=2,2%,IF(C10=3,5%,IF(C10=4,10%,IF(C10=5,15%,IF(C10&gt;5,15%)))))))/(F15*(100%+F18-F30)))/(F16*(100%+F19)))*(C11/100))*SQRT(10000/C8))*(100%))),0)</f>
        <v>0</v>
      </c>
      <c r="D4" s="7" t="s">
        <v>6</v>
      </c>
      <c r="E4" s="5"/>
      <c r="F4" s="8">
        <f>ROUNDUP((((((F8*((F14*(100%+F17-F29))*(100%+F20+F22-C24-C25-F31+IF(F10&lt;2,0%,IF(F10=2,2%,IF(F10=3,5%,IF(F10=4,10%,IF(F10=5,15%,IF(F10&gt;5,15%)))))))/(C15*(100%+C18-C30)))/(C16*(100%+C19)))*(F11/100))*SQRT(10000/F8))*(100%))),0)</f>
        <v>0</v>
      </c>
    </row>
    <row r="5">
      <c r="A5" s="4" t="s">
        <v>7</v>
      </c>
      <c r="B5" s="5"/>
      <c r="C5" s="6">
        <f>SUM(C2:C4)</f>
        <v>372</v>
      </c>
      <c r="D5" s="7" t="s">
        <v>8</v>
      </c>
      <c r="E5" s="5"/>
      <c r="F5" s="8">
        <f>SUM(F2:F4)</f>
        <v>372</v>
      </c>
    </row>
    <row r="6">
      <c r="A6" s="9"/>
      <c r="B6" s="10"/>
      <c r="C6" s="11"/>
      <c r="D6" s="10"/>
      <c r="E6" s="10"/>
      <c r="F6" s="12"/>
    </row>
    <row r="7">
      <c r="A7" s="13" t="s">
        <v>9</v>
      </c>
      <c r="B7" s="14"/>
      <c r="C7" s="15"/>
      <c r="D7" s="16" t="s">
        <v>10</v>
      </c>
      <c r="E7" s="14"/>
      <c r="F7" s="17"/>
    </row>
    <row r="8">
      <c r="A8" s="4" t="s">
        <v>11</v>
      </c>
      <c r="B8" s="5"/>
      <c r="C8" s="18">
        <v>132812.0</v>
      </c>
      <c r="D8" s="7" t="s">
        <v>11</v>
      </c>
      <c r="E8" s="5"/>
      <c r="F8" s="19">
        <v>132812.0</v>
      </c>
    </row>
    <row r="9">
      <c r="A9" s="4" t="s">
        <v>12</v>
      </c>
      <c r="B9" s="5"/>
      <c r="C9" s="20">
        <v>0.0</v>
      </c>
      <c r="D9" s="7" t="s">
        <v>12</v>
      </c>
      <c r="E9" s="5"/>
      <c r="F9" s="21">
        <f>IF(C9=1,-1,IF(C9=0,0,IF(C9=-1,1)))</f>
        <v>0</v>
      </c>
    </row>
    <row r="10">
      <c r="A10" s="4" t="s">
        <v>13</v>
      </c>
      <c r="B10" s="5"/>
      <c r="C10" s="20">
        <v>1.0</v>
      </c>
      <c r="D10" s="7" t="s">
        <v>13</v>
      </c>
      <c r="E10" s="5"/>
      <c r="F10" s="21">
        <v>1.0</v>
      </c>
    </row>
    <row r="11">
      <c r="A11" s="4" t="s">
        <v>14</v>
      </c>
      <c r="B11" s="5"/>
      <c r="C11" s="22">
        <v>0.0</v>
      </c>
      <c r="D11" s="7" t="s">
        <v>14</v>
      </c>
      <c r="E11" s="5"/>
      <c r="F11" s="23">
        <v>0.0</v>
      </c>
    </row>
    <row r="12">
      <c r="A12" s="9"/>
      <c r="B12" s="10"/>
      <c r="C12" s="11"/>
      <c r="D12" s="10"/>
      <c r="E12" s="24"/>
      <c r="F12" s="25"/>
    </row>
    <row r="13">
      <c r="A13" s="13" t="s">
        <v>15</v>
      </c>
      <c r="B13" s="14"/>
      <c r="C13" s="15"/>
      <c r="D13" s="16" t="s">
        <v>16</v>
      </c>
      <c r="E13" s="14"/>
      <c r="F13" s="17"/>
    </row>
    <row r="14">
      <c r="A14" s="4" t="s">
        <v>17</v>
      </c>
      <c r="B14" s="5"/>
      <c r="C14" s="20">
        <v>254.0</v>
      </c>
      <c r="D14" s="7" t="s">
        <v>17</v>
      </c>
      <c r="E14" s="5"/>
      <c r="F14" s="26">
        <v>254.0</v>
      </c>
    </row>
    <row r="15">
      <c r="A15" s="4" t="s">
        <v>18</v>
      </c>
      <c r="B15" s="5"/>
      <c r="C15" s="20">
        <v>234.0</v>
      </c>
      <c r="D15" s="7" t="s">
        <v>18</v>
      </c>
      <c r="E15" s="5"/>
      <c r="F15" s="26">
        <v>234.0</v>
      </c>
    </row>
    <row r="16">
      <c r="A16" s="4" t="s">
        <v>19</v>
      </c>
      <c r="B16" s="5"/>
      <c r="C16" s="20">
        <v>269.0</v>
      </c>
      <c r="D16" s="7" t="s">
        <v>19</v>
      </c>
      <c r="E16" s="5"/>
      <c r="F16" s="26">
        <v>269.0</v>
      </c>
    </row>
    <row r="17">
      <c r="A17" s="4" t="s">
        <v>20</v>
      </c>
      <c r="B17" s="5"/>
      <c r="C17" s="20">
        <v>1.04</v>
      </c>
      <c r="D17" s="7" t="s">
        <v>20</v>
      </c>
      <c r="E17" s="5"/>
      <c r="F17" s="26">
        <v>1.04</v>
      </c>
    </row>
    <row r="18">
      <c r="A18" s="4" t="s">
        <v>21</v>
      </c>
      <c r="B18" s="5"/>
      <c r="C18" s="20">
        <v>0.92</v>
      </c>
      <c r="D18" s="7" t="s">
        <v>21</v>
      </c>
      <c r="E18" s="5"/>
      <c r="F18" s="26">
        <v>0.92</v>
      </c>
    </row>
    <row r="19">
      <c r="A19" s="4" t="s">
        <v>22</v>
      </c>
      <c r="B19" s="5"/>
      <c r="C19" s="20">
        <v>0.52</v>
      </c>
      <c r="D19" s="7" t="s">
        <v>22</v>
      </c>
      <c r="E19" s="5"/>
      <c r="F19" s="26">
        <v>0.52</v>
      </c>
    </row>
    <row r="20">
      <c r="A20" s="4" t="s">
        <v>23</v>
      </c>
      <c r="B20" s="5"/>
      <c r="C20" s="20">
        <v>0.0</v>
      </c>
      <c r="D20" s="7" t="s">
        <v>23</v>
      </c>
      <c r="E20" s="5"/>
      <c r="F20" s="26">
        <v>0.0</v>
      </c>
    </row>
    <row r="21">
      <c r="A21" s="4" t="s">
        <v>24</v>
      </c>
      <c r="B21" s="5"/>
      <c r="C21" s="20">
        <v>0.0</v>
      </c>
      <c r="D21" s="7" t="s">
        <v>24</v>
      </c>
      <c r="E21" s="5"/>
      <c r="F21" s="26">
        <v>0.0</v>
      </c>
    </row>
    <row r="22">
      <c r="A22" s="4" t="s">
        <v>25</v>
      </c>
      <c r="B22" s="5"/>
      <c r="C22" s="20">
        <v>0.0</v>
      </c>
      <c r="D22" s="7" t="s">
        <v>25</v>
      </c>
      <c r="E22" s="5"/>
      <c r="F22" s="26">
        <v>0.0</v>
      </c>
    </row>
    <row r="23">
      <c r="A23" s="4" t="s">
        <v>26</v>
      </c>
      <c r="B23" s="5"/>
      <c r="C23" s="20">
        <v>0.0</v>
      </c>
      <c r="D23" s="7" t="s">
        <v>26</v>
      </c>
      <c r="E23" s="5"/>
      <c r="F23" s="26">
        <v>0.0</v>
      </c>
    </row>
    <row r="24">
      <c r="A24" s="4" t="s">
        <v>27</v>
      </c>
      <c r="B24" s="5"/>
      <c r="C24" s="20">
        <v>0.1</v>
      </c>
      <c r="D24" s="7" t="s">
        <v>27</v>
      </c>
      <c r="E24" s="5"/>
      <c r="F24" s="26">
        <v>0.1</v>
      </c>
    </row>
    <row r="25">
      <c r="A25" s="4" t="s">
        <v>28</v>
      </c>
      <c r="B25" s="5"/>
      <c r="C25" s="20">
        <v>0.0</v>
      </c>
      <c r="D25" s="7" t="s">
        <v>28</v>
      </c>
      <c r="E25" s="5"/>
      <c r="F25" s="26">
        <v>0.0</v>
      </c>
    </row>
    <row r="26">
      <c r="A26" s="4" t="s">
        <v>29</v>
      </c>
      <c r="B26" s="5"/>
      <c r="C26" s="20">
        <v>0.0</v>
      </c>
      <c r="D26" s="7" t="s">
        <v>29</v>
      </c>
      <c r="E26" s="5"/>
      <c r="F26" s="26">
        <v>0.0</v>
      </c>
    </row>
    <row r="27">
      <c r="A27" s="9"/>
      <c r="B27" s="27"/>
      <c r="C27" s="11"/>
      <c r="D27" s="27"/>
      <c r="E27" s="24"/>
      <c r="F27" s="25"/>
    </row>
    <row r="28">
      <c r="A28" s="13" t="s">
        <v>30</v>
      </c>
      <c r="B28" s="14"/>
      <c r="C28" s="15"/>
      <c r="D28" s="16" t="s">
        <v>31</v>
      </c>
      <c r="E28" s="14"/>
      <c r="F28" s="17"/>
    </row>
    <row r="29">
      <c r="A29" s="4" t="s">
        <v>32</v>
      </c>
      <c r="B29" s="5"/>
      <c r="C29" s="20">
        <v>0.0</v>
      </c>
      <c r="D29" s="7" t="s">
        <v>32</v>
      </c>
      <c r="E29" s="5"/>
      <c r="F29" s="26">
        <v>0.0</v>
      </c>
    </row>
    <row r="30">
      <c r="A30" s="4" t="s">
        <v>33</v>
      </c>
      <c r="B30" s="5"/>
      <c r="C30" s="20">
        <v>0.0</v>
      </c>
      <c r="D30" s="7" t="s">
        <v>33</v>
      </c>
      <c r="E30" s="5"/>
      <c r="F30" s="26">
        <v>0.0</v>
      </c>
    </row>
    <row r="31">
      <c r="A31" s="28" t="s">
        <v>34</v>
      </c>
      <c r="B31" s="29"/>
      <c r="C31" s="30">
        <v>0.0</v>
      </c>
      <c r="D31" s="31" t="s">
        <v>34</v>
      </c>
      <c r="E31" s="29"/>
      <c r="F31" s="26">
        <v>0.0</v>
      </c>
    </row>
  </sheetData>
  <mergeCells count="55">
    <mergeCell ref="A30:B30"/>
    <mergeCell ref="A31:B31"/>
    <mergeCell ref="A25:B25"/>
    <mergeCell ref="A26:B26"/>
    <mergeCell ref="A28:C28"/>
    <mergeCell ref="D28:F28"/>
    <mergeCell ref="A29:B29"/>
    <mergeCell ref="D29:E29"/>
    <mergeCell ref="D30:E30"/>
    <mergeCell ref="D31:E31"/>
    <mergeCell ref="D4:E4"/>
    <mergeCell ref="D5:E5"/>
    <mergeCell ref="A1:F1"/>
    <mergeCell ref="A2:B2"/>
    <mergeCell ref="D2:E2"/>
    <mergeCell ref="A3:B3"/>
    <mergeCell ref="D3:E3"/>
    <mergeCell ref="A4:B4"/>
    <mergeCell ref="A5:B5"/>
    <mergeCell ref="A7:C7"/>
    <mergeCell ref="D7:F7"/>
    <mergeCell ref="A8:B8"/>
    <mergeCell ref="D8:E8"/>
    <mergeCell ref="A9:B9"/>
    <mergeCell ref="D9:E9"/>
    <mergeCell ref="D10:E10"/>
    <mergeCell ref="A10:B10"/>
    <mergeCell ref="A11:B11"/>
    <mergeCell ref="A13:C13"/>
    <mergeCell ref="A14:B14"/>
    <mergeCell ref="A15:B15"/>
    <mergeCell ref="A16:B16"/>
    <mergeCell ref="A17:B17"/>
    <mergeCell ref="D19:E19"/>
    <mergeCell ref="D20:E20"/>
    <mergeCell ref="D21:E21"/>
    <mergeCell ref="D22:E22"/>
    <mergeCell ref="D23:E23"/>
    <mergeCell ref="D24:E24"/>
    <mergeCell ref="D25:E25"/>
    <mergeCell ref="D26:E26"/>
    <mergeCell ref="D11:E11"/>
    <mergeCell ref="D13:F13"/>
    <mergeCell ref="D14:E14"/>
    <mergeCell ref="D15:E15"/>
    <mergeCell ref="D16:E16"/>
    <mergeCell ref="D17:E17"/>
    <mergeCell ref="D18:E18"/>
    <mergeCell ref="A18:B18"/>
    <mergeCell ref="A19:B19"/>
    <mergeCell ref="A20:B20"/>
    <mergeCell ref="A21:B21"/>
    <mergeCell ref="A22:B22"/>
    <mergeCell ref="A23:B23"/>
    <mergeCell ref="A24:B24"/>
  </mergeCells>
  <drawing r:id="rId2"/>
  <legacyDrawing r:id="rId3"/>
</worksheet>
</file>