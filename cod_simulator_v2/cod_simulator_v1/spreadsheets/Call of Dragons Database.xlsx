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ing" sheetId="1" r:id="rId5"/>
    <sheet state="visible" name="Lei Kuan Scaling HP" sheetId="2" r:id="rId6"/>
    <sheet state="visible" name="Feuille 20" sheetId="3" r:id="rId7"/>
    <sheet state="visible" name="Feuille 19" sheetId="4" r:id="rId8"/>
    <sheet state="visible" name="AH" sheetId="5" r:id="rId9"/>
    <sheet state="visible" name="Feuille 23" sheetId="6" r:id="rId10"/>
    <sheet state="visible" name="Test formula" sheetId="7" r:id="rId11"/>
    <sheet state="visible" name="Brink of War" sheetId="8" r:id="rId12"/>
    <sheet state="visible" name="Artifacts" sheetId="9" r:id="rId13"/>
    <sheet state="visible" name="Research" sheetId="10" r:id="rId14"/>
    <sheet state="visible" name="Main quests" sheetId="11" r:id="rId15"/>
    <sheet state="visible" name="Hero Token Cost" sheetId="12" r:id="rId16"/>
    <sheet state="visible" name="Talent Tree" sheetId="13" r:id="rId17"/>
    <sheet state="visible" name="Talent Node" sheetId="14" r:id="rId18"/>
    <sheet state="visible" name="Hero" sheetId="15" r:id="rId19"/>
    <sheet state="visible" name="Hero Skills" sheetId="16" r:id="rId20"/>
    <sheet state="visible" name="War Pet Skills" sheetId="17" r:id="rId21"/>
    <sheet state="visible" name="War Pets" sheetId="18" r:id="rId22"/>
    <sheet state="visible" name="War Pets Skill Infos" sheetId="19" r:id="rId23"/>
    <sheet state="visible" name="War Pets Skill Infos 2" sheetId="20" r:id="rId24"/>
    <sheet state="visible" name="SoS 1 Timeline" sheetId="21" r:id="rId25"/>
    <sheet state="visible" name="SoS 5 Timeline" sheetId="22" r:id="rId26"/>
    <sheet state="visible" name="SoS 4 Timeline" sheetId="23" r:id="rId27"/>
    <sheet state="visible" name="SoS 2 Timeline" sheetId="24" r:id="rId28"/>
    <sheet state="visible" name="Copie de SoS 6" sheetId="25" r:id="rId29"/>
    <sheet state="visible" name="Cycle Information" sheetId="26" r:id="rId30"/>
    <sheet state="visible" name="Event Calendar" sheetId="27" r:id="rId3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tc={a047de92-7972-48d5-b2cc-b0b5a7e1873a}</author>
  </authors>
  <commentList>
    <comment authorId="0" ref="B238">
      <text>
        <t xml:space="preserve">Gather Tree one, with increased value</t>
      </text>
    </comment>
    <comment authorId="0" ref="B239">
      <text>
        <t xml:space="preserve">Gather Tree one with incrased value</t>
      </text>
    </comment>
    <comment authorId="1" xr:uid="{a047de92-7972-48d5-b2cc-b0b5a7e1873a}" ref="E1">
      <text>
        <t xml:space="preserve">[Threaded comment]
 Your version of Excel allows you to read this threaded comment; however, any edits to it will get removed if the file is opened in a newer version of Excel. Learn more: https://go.microsoft.com/fwlink/?linkid=870924
Comment:
	If it's a main_node or major_node, no need to enter any value since it doesn't change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tc={4675d53e-9c9a-417b-9276-1b57af473962}</author>
    <author>tc={d1d0c668-8b28-491b-aa84-8e26a901883f}</author>
  </authors>
  <commentList>
    <comment authorId="0" xr:uid="{4675d53e-9c9a-417b-9276-1b57af473962}" ref="D1">
      <text>
        <t xml:space="preserve">[Threaded comment]
 Your version of Excel allows you to read this threaded comment; however, any edits to it will get removed if the file is opened in a newer version of Excel. Learn more: https://go.microsoft.com/fwlink/?linkid=870924
Comment:
	Always give a tooltip with max level
</t>
      </text>
    </comment>
    <comment authorId="1" xr:uid="{d1d0c668-8b28-491b-aa84-8e26a901883f}" ref="F1">
      <text>
        <t xml:space="preserve">[Threaded comment]
 Your version of Excel allows you to read this threaded comment; however, any edits to it will get removed if the file is opened in a newer version of Excel. Learn more: https://go.microsoft.com/fwlink/?linkid=870924
Comment:
	For Awakaned Skill, precise if it's a new passive or a upgrade of a skill
Let empty if not
Precise exact skill name if Yes
</t>
      </text>
    </comment>
  </commentList>
</comments>
</file>

<file path=xl/sharedStrings.xml><?xml version="1.0" encoding="utf-8"?>
<sst xmlns="http://schemas.openxmlformats.org/spreadsheetml/2006/main" count="5651" uniqueCount="2426">
  <si>
    <t>Building</t>
  </si>
  <si>
    <t>Level</t>
  </si>
  <si>
    <t>Time (Computed)</t>
  </si>
  <si>
    <t>Build Buff</t>
  </si>
  <si>
    <t>Days</t>
  </si>
  <si>
    <t>Hours</t>
  </si>
  <si>
    <t>Minutes</t>
  </si>
  <si>
    <t>Seconds</t>
  </si>
  <si>
    <t>Gold</t>
  </si>
  <si>
    <t>Wood</t>
  </si>
  <si>
    <t>Stone</t>
  </si>
  <si>
    <t>Mana</t>
  </si>
  <si>
    <t>Specific Requirements</t>
  </si>
  <si>
    <t>Total sec</t>
  </si>
  <si>
    <t>Total sec pr</t>
  </si>
  <si>
    <t>Hall of Order</t>
  </si>
  <si>
    <t>Ok</t>
  </si>
  <si>
    <t>/</t>
  </si>
  <si>
    <t>Need value</t>
  </si>
  <si>
    <t>Do not touch</t>
  </si>
  <si>
    <t>Wall 3</t>
  </si>
  <si>
    <t>Wall 4, Mint 4</t>
  </si>
  <si>
    <t>Wall 5, Scout Camp 5</t>
  </si>
  <si>
    <t>Check your buff percentage by clicking on your city hall
Then do the job  &lt;3</t>
  </si>
  <si>
    <t>Wall 6, Infantry Camp 6</t>
  </si>
  <si>
    <t>Wall 7, Alliance Center 7</t>
  </si>
  <si>
    <t>Wall 8, Lumber Mill 8</t>
  </si>
  <si>
    <t>Mint</t>
  </si>
  <si>
    <t>Lumber Mill</t>
  </si>
  <si>
    <t>Foundry</t>
  </si>
  <si>
    <t>Mana Refinery</t>
  </si>
  <si>
    <t>Alliance Center</t>
  </si>
  <si>
    <t>Alliance Market</t>
  </si>
  <si>
    <t>Scout Camp</t>
  </si>
  <si>
    <t>Hospital</t>
  </si>
  <si>
    <t>Mage Camp</t>
  </si>
  <si>
    <t>Infantry Camp</t>
  </si>
  <si>
    <t>Cavalery Camp</t>
  </si>
  <si>
    <t>16 200 000</t>
  </si>
  <si>
    <t>12 200 000</t>
  </si>
  <si>
    <t>2 200 000</t>
  </si>
  <si>
    <t>Archer Camp</t>
  </si>
  <si>
    <t>Flying Camp</t>
  </si>
  <si>
    <t>Storehouse</t>
  </si>
  <si>
    <t>School of Sages</t>
  </si>
  <si>
    <t>Rally Harp</t>
  </si>
  <si>
    <t>Watch Tower</t>
  </si>
  <si>
    <t>Wall</t>
  </si>
  <si>
    <t>Current Legion</t>
  </si>
  <si>
    <t>HP</t>
  </si>
  <si>
    <t>Damage</t>
  </si>
  <si>
    <t>Damage Flat</t>
  </si>
  <si>
    <t>ATK</t>
  </si>
  <si>
    <t>Target HP</t>
  </si>
  <si>
    <t>Target DEF</t>
  </si>
  <si>
    <t>Target HS Reduc</t>
  </si>
  <si>
    <t>Target Reduc flat</t>
  </si>
  <si>
    <t>M</t>
  </si>
  <si>
    <t>D</t>
  </si>
  <si>
    <t>P</t>
  </si>
  <si>
    <t>c</t>
  </si>
  <si>
    <t>BOGO REPORT 2</t>
  </si>
  <si>
    <t>Bogo Darkling</t>
  </si>
  <si>
    <t>LegionSize</t>
  </si>
  <si>
    <t>HP_Bonus</t>
  </si>
  <si>
    <t>DamageScaledOnHP</t>
  </si>
  <si>
    <t>NormalDamage</t>
  </si>
  <si>
    <t>Target_HP%_Debuff</t>
  </si>
  <si>
    <t>S</t>
  </si>
  <si>
    <t>O</t>
  </si>
  <si>
    <t>F</t>
  </si>
  <si>
    <t>W</t>
  </si>
  <si>
    <t>Power 15:40</t>
  </si>
  <si>
    <t>Merits 15:40</t>
  </si>
  <si>
    <t>Power 21:22</t>
  </si>
  <si>
    <t>Merits 21:22</t>
  </si>
  <si>
    <t>Power 23:49</t>
  </si>
  <si>
    <t>Merits 23:49</t>
  </si>
  <si>
    <t>Power 5:00 =&gt; 18:00</t>
  </si>
  <si>
    <t>Merits 5:00 =&gt; 18:00</t>
  </si>
  <si>
    <t>PB</t>
  </si>
  <si>
    <t>E:86</t>
  </si>
  <si>
    <t>1m</t>
  </si>
  <si>
    <t>5m</t>
  </si>
  <si>
    <t>BP</t>
  </si>
  <si>
    <t>Season (42d)</t>
  </si>
  <si>
    <t>Name</t>
  </si>
  <si>
    <t>Auction Price</t>
  </si>
  <si>
    <t>Shop Price</t>
  </si>
  <si>
    <t>Selling Price</t>
  </si>
  <si>
    <t>Profit</t>
  </si>
  <si>
    <t>Angry Roar 2*</t>
  </si>
  <si>
    <t>Fatal Bite 2</t>
  </si>
  <si>
    <t>Avant</t>
  </si>
  <si>
    <t>Après</t>
  </si>
  <si>
    <t>Intense Counter 2</t>
  </si>
  <si>
    <t>Necro</t>
  </si>
  <si>
    <t>Fierce Attack 2</t>
  </si>
  <si>
    <t>Magma</t>
  </si>
  <si>
    <t>Intense Fierce Attack 2</t>
  </si>
  <si>
    <t>Dragon</t>
  </si>
  <si>
    <t>Chain strike 2</t>
  </si>
  <si>
    <t>Magic Fortune 2</t>
  </si>
  <si>
    <t>Intense Infection 2</t>
  </si>
  <si>
    <t>Intense Shadow Hunter 2</t>
  </si>
  <si>
    <t>Intense Puncture 2</t>
  </si>
  <si>
    <t>Intense Outburst 2</t>
  </si>
  <si>
    <t>Total</t>
  </si>
  <si>
    <t>11400 gem</t>
  </si>
  <si>
    <t>90j speedup</t>
  </si>
  <si>
    <t>2 relocate</t>
  </si>
  <si>
    <t>troopSize</t>
  </si>
  <si>
    <t>expected:</t>
  </si>
  <si>
    <t>ATK Buff (%)</t>
  </si>
  <si>
    <t>enemyDEF</t>
  </si>
  <si>
    <t>enemyDEF Buff (%)</t>
  </si>
  <si>
    <t>enemyHP</t>
  </si>
  <si>
    <t>enemyHP Buff (%)</t>
  </si>
  <si>
    <t>damageFactor</t>
  </si>
  <si>
    <t>Normal Damage Buff (%)</t>
  </si>
  <si>
    <t>Flat Damage Buff (%)</t>
  </si>
  <si>
    <t>troopMaxSize</t>
  </si>
  <si>
    <t>Ignore DEF</t>
  </si>
  <si>
    <t>Ignore HP</t>
  </si>
  <si>
    <t>CP</t>
  </si>
  <si>
    <t>Size</t>
  </si>
  <si>
    <t>Qty</t>
  </si>
  <si>
    <t>Qty 2</t>
  </si>
  <si>
    <t>Shadow Trolls</t>
  </si>
  <si>
    <t>Points</t>
  </si>
  <si>
    <t>Points / CP</t>
  </si>
  <si>
    <t>Elite (Rally)</t>
  </si>
  <si>
    <t>Normal</t>
  </si>
  <si>
    <t>Normal (Min)</t>
  </si>
  <si>
    <t>Normal x 100 (Auto)</t>
  </si>
  <si>
    <t>Main Stats</t>
  </si>
  <si>
    <t>MS Min</t>
  </si>
  <si>
    <t>MS Max</t>
  </si>
  <si>
    <t>Secondary Stats</t>
  </si>
  <si>
    <t>SS Min</t>
  </si>
  <si>
    <t>SS Max</t>
  </si>
  <si>
    <t>Quality</t>
  </si>
  <si>
    <t>Category 1</t>
  </si>
  <si>
    <t>Category 2</t>
  </si>
  <si>
    <t>Category 3</t>
  </si>
  <si>
    <t>Cooldown</t>
  </si>
  <si>
    <t>Rage Cost</t>
  </si>
  <si>
    <t>Ability Name</t>
  </si>
  <si>
    <t>Ability Description</t>
  </si>
  <si>
    <t>Ability Upgrade</t>
  </si>
  <si>
    <t>Season</t>
  </si>
  <si>
    <t>Sorland's Blade</t>
  </si>
  <si>
    <t>Cavalry Unit ATK</t>
  </si>
  <si>
    <t>Legion March Speed</t>
  </si>
  <si>
    <t>legendary</t>
  </si>
  <si>
    <t>Cavalry</t>
  </si>
  <si>
    <t>PvP</t>
  </si>
  <si>
    <t>Assault</t>
  </si>
  <si>
    <t>1m30</t>
  </si>
  <si>
    <t>Sword Oath</t>
  </si>
  <si>
    <t>Deals damage to up to 2 enemy Legions in a designated arc.
Damage Type: Artifact Skill Damage (Physical)
Damage Factor: 1600
Targets take 25% less damage per additional target.
Your Legion gains Haste: March Speed +20% for 10s.</t>
  </si>
  <si>
    <t>Skill Damage Factor: 1600/2000/2400/2800/3200</t>
  </si>
  <si>
    <t xml:space="preserve"> </t>
  </si>
  <si>
    <t>Dragonrift</t>
  </si>
  <si>
    <t>Infantry Unit ATK</t>
  </si>
  <si>
    <t>Legion ATK</t>
  </si>
  <si>
    <t>Infantry</t>
  </si>
  <si>
    <t>Dragon Tamer</t>
  </si>
  <si>
    <t>Deals damage to the selected Legion.
Damage Type: Artifact Skill Damage (Physical)
Damage Factor: 2000
If this Skill defeats the target, your Legion gains Physical Keen: Physical ATK +16% for 6s
If this Skill does not defeat the target, they gain Bleed: deals damage every second for 3s.
Damage Type: Artifact Skill Damage (Physical)
Damage Factor: 150</t>
  </si>
  <si>
    <t>Skill Damage Factor: 2000/2500/3000/3500/4000
Physical ATK bonus: 16%/20%/24%/28%/32%
Skill Damage Factor: 150/200/250/300/350</t>
  </si>
  <si>
    <t>Ancient Tree Roots</t>
  </si>
  <si>
    <t>Overall Gather Speed</t>
  </si>
  <si>
    <t>Legion HP</t>
  </si>
  <si>
    <t>Gathering</t>
  </si>
  <si>
    <t>2m</t>
  </si>
  <si>
    <t>Geomancy</t>
  </si>
  <si>
    <t>After a short charge-up, teleports your Legion to a random unmanned high-level Resource Point within range.
Moving, being attacked, or gaining control effects interrupts.charge-up.</t>
  </si>
  <si>
    <t>Cooldown (seconds): 120/100/80/60/30</t>
  </si>
  <si>
    <t>Kurrata's Wrath</t>
  </si>
  <si>
    <t>Peacekeeping Damage</t>
  </si>
  <si>
    <t>Peacekeeping</t>
  </si>
  <si>
    <t>Wolf Pack</t>
  </si>
  <si>
    <t>Grants a buff to up to 10 friendly Legions in a designated circle.
Buff Effect: Damage dealt to Darklings and Dark Creatures +20% for 10s.</t>
  </si>
  <si>
    <t>Damage dealth during Peacekeeping bonus: 20%/25%/30%/35%/40%</t>
  </si>
  <si>
    <t>Bloodblade Banner</t>
  </si>
  <si>
    <t>Rallied Army ATK</t>
  </si>
  <si>
    <t>Legion DEF</t>
  </si>
  <si>
    <t>Rally</t>
  </si>
  <si>
    <t>Warrior Spirit</t>
  </si>
  <si>
    <t>While in battle, your Rallied Army deals damage and gains Physical Keen every 30s.
Damage Type: Artifact Skill
Damage (Physical): 650
Physical Keen: Physical ATK +5% for 10s.</t>
  </si>
  <si>
    <t>Skill Damage Factor: 650/800/950/1100/1300
Physical ATK bonus: 5%/6%/7%/8.5%/10%</t>
  </si>
  <si>
    <t>Tear of Arbon</t>
  </si>
  <si>
    <t>Magic Unit DEF</t>
  </si>
  <si>
    <t>Magic</t>
  </si>
  <si>
    <t>Support</t>
  </si>
  <si>
    <t>Divine Mercy</t>
  </si>
  <si>
    <t>Heals lightly wounded units once every 2s.
Casts on up to 4 friendly Legions in a designated circle.
Healing Factor: 400
Healing Duration: 8s</t>
  </si>
  <si>
    <t>Healing Factor: 400/500/600/700/800</t>
  </si>
  <si>
    <t>Phoenix Eye</t>
  </si>
  <si>
    <t>Magic Unit ATK</t>
  </si>
  <si>
    <t>Burst Strike</t>
  </si>
  <si>
    <t>Deals damage to up to 4 enemy Legions in a designated circle.
Damage Type: Artifact Skill Damage (Magic)
Damage Factor: 2000
Legions take 15% less damage per additional target.</t>
  </si>
  <si>
    <t>Skill Damage Factor: 2000/2500/3000/3500/4000
Max targets: 4/4/4/4/5</t>
  </si>
  <si>
    <t>Fang of Ashkari</t>
  </si>
  <si>
    <t>All-Rounder</t>
  </si>
  <si>
    <t>Tank</t>
  </si>
  <si>
    <t>Thundershadow</t>
  </si>
  <si>
    <t>Sets a circle fixed at your Legion's location when cast.
Deals damage every 2s to up to 4 enemy Legions within the circle.
Damage Type: Artifact Skill Damage (Physical/Magic)
Damage Factor: 500
Duration: 8s.
Target take 15% less damage per additional target.</t>
  </si>
  <si>
    <t>Skill Damage Factor: 500/600/700/850/1000</t>
  </si>
  <si>
    <t>Heart of Kamasi</t>
  </si>
  <si>
    <t>Marksman Unit DEF</t>
  </si>
  <si>
    <t>Marksman</t>
  </si>
  <si>
    <t>Earthen Judgment</t>
  </si>
  <si>
    <t>Grants your Legion and 2 nearby friendly Legions:
1) Physical Keen: Physical ATK +15%
2) Onslaught: normal attack damage dealt +15%
Duration: 10s
Only takes effect when leading a Marksman Legion.</t>
  </si>
  <si>
    <t>Physical ATK bonus: 15%/18%/22%/26%/30%
Normal attack damage bonus: 15%/18%/22%/26%/30%</t>
  </si>
  <si>
    <t>Wolf-Woman of Haelor</t>
  </si>
  <si>
    <t>Cavalry Unit HP</t>
  </si>
  <si>
    <t>Mobility</t>
  </si>
  <si>
    <t>Wolfshadow</t>
  </si>
  <si>
    <t>Select an empty area within range to teleport your Legion to that location. 15s later, or when the Skill is recast, your Legion will return to its original location.
The first enemy Legion that your Legion attacked after the Skill was cast takes additional damage.
Range: 18
Damage: 15% of damage dealt to that Legion after the Skill was cast</t>
  </si>
  <si>
    <t>Range: 18/21/24/27/30
Additional Damage Factor: 15%/18%/21%/25%/30%</t>
  </si>
  <si>
    <t>Shadowblades</t>
  </si>
  <si>
    <t>Marksman Unit ATK</t>
  </si>
  <si>
    <t>Shadow Games</t>
  </si>
  <si>
    <t>Deals damage to up to 5 enemy Legions in a designated rectangle.
Damage Type: Artifact Skill Damage (Physical)
Damage Factor: 1800
Target take 15% less damage per additional target.</t>
  </si>
  <si>
    <t>Skill Damage Factor: 1800/2200/2600/3000/3600</t>
  </si>
  <si>
    <t>Springs of Silence</t>
  </si>
  <si>
    <t>Control</t>
  </si>
  <si>
    <t>Fleeting Beauty</t>
  </si>
  <si>
    <t>Deals diffused damage to up to 3 enemy Legions in a designated arc.
Damage Type: Physical
Damage Factor: 1600
Damaged targets are Slowed: March Speed -60% for 10s.</t>
  </si>
  <si>
    <t>Lucia's Horn</t>
  </si>
  <si>
    <t>2h</t>
  </si>
  <si>
    <t>Bounty of Nature</t>
  </si>
  <si>
    <t>After a short charge-up, a random Resource Point located in Alliance territory near your Legion.
Resource Point Minimum Level: 4
Resource Point Maximum Level: 5.
Charge-up cannot be interrupted..</t>
  </si>
  <si>
    <t>Resource Point minimum Level: 4/4/5/6/7
Resource Point max Level: 5/6/6/7/7</t>
  </si>
  <si>
    <t>Breath of the Forest</t>
  </si>
  <si>
    <t>Garrisoned Army ATK</t>
  </si>
  <si>
    <t>Garrison</t>
  </si>
  <si>
    <t>Deepwood Symphony</t>
  </si>
  <si>
    <t>When you are Garrison Captain of a City or Stronghold, randomly grants your Legion one of the following effects every 30s while in battle.
Ode: Heals once every 2s.
Healing Factor: 300
Healing Duration: 10s
Hymn: Grand Vigor for 10s.
Effect: HP +15%
Aria: Removes one debuff every 2s.
Duration: 6s</t>
  </si>
  <si>
    <t>Healing Factor: 300/370/440/520/600
HP Bonus: 15%/18%/22%/26%/30%</t>
  </si>
  <si>
    <t>Infernal Flame</t>
  </si>
  <si>
    <t>Terrifying Inferno</t>
  </si>
  <si>
    <t>When cast, your Legion deals additional damage whenever they launch a normal attack.
Damage Type: Artifact Skill Damage (Magic)
Damage Factor: 1100
Effect Duration: 3s
Passive: Your Legion gains Magic Keen when the wielder inflicts Scorch on enemies.
Magic Keen: ATK +15% for 5s
This effect can be triggered once every 10s.</t>
  </si>
  <si>
    <t>Additional Magic Skill Damage Factor: 1100/1350/1600/1900/2200
Magic ATK bonus: 15%/18%/21%/25%/30%</t>
  </si>
  <si>
    <t>Kingslayer</t>
  </si>
  <si>
    <t>Royal Punishment</t>
  </si>
  <si>
    <t>Deals damage to up to 5 enemy Lgions in a designated arc.
Damage Type: Artifact Skill Damage (Physical)
Damage Factor: 1800
Targets take 15% less damage per additional target.
If the target is another Lord's Legion and has fewer than 10% units remaining, it is immediately defeated.</t>
  </si>
  <si>
    <t>Springbird Feather</t>
  </si>
  <si>
    <t>Mighty Tailwind</t>
  </si>
  <si>
    <t>Grants your Legion and 10 surrounding friendly Legions Haste for 10s.
Your Legion: March Speed +24%
Friendly Legions: March Speed +16%</t>
  </si>
  <si>
    <t>Legion March Speed bonus: 24%/30%/36%/42%/48%
Friendly Legion March Speed bonus: 16%/20%/24%/28%/32%</t>
  </si>
  <si>
    <t>Storm Arrows</t>
  </si>
  <si>
    <t>Blink</t>
  </si>
  <si>
    <t>Immediately teleports your Legion to a designated empty area.
Teleport Range: 15
Your Legion gains Rampage: damage dealth +12% for 4s.</t>
  </si>
  <si>
    <t>Range: 15/18/21/25/30
Damage bonus: 12%/15%/18%/21%/24%</t>
  </si>
  <si>
    <t>Visage of the Sanctus</t>
  </si>
  <si>
    <t>Flying Unit DEF</t>
  </si>
  <si>
    <t>Flying</t>
  </si>
  <si>
    <t>Strike of the Light</t>
  </si>
  <si>
    <t>Consecutively grants 3 Boon Shields to a selected friendly Legion.
Boon Shield Factor: 900 each time
Boon Shield Duration: 10s
Passive: Grants 1 stack of Mark of Judgment to the wielder when they grant a shield to themselves or any friendly Legion.
Mark of Judgment: Stacks up to 10 times.
Casting a Rage Skill triggers Supreme Judgment and clears all Mark of Judgment stacks.
Supreme Judgment: Deals damage to the target Legion.
Damage Type: Artifact Skill Damage
Damage Factor 250 per stack
Mark of Jugdgment stacks a cleared after battle ends.</t>
  </si>
  <si>
    <t>Boon Shield Factor: 900/1100/1300/1550/1800
Damage Factor: 250/310/370/430/500</t>
  </si>
  <si>
    <t>Staff of the Prophet</t>
  </si>
  <si>
    <t>Magic Unit HP</t>
  </si>
  <si>
    <t>8h</t>
  </si>
  <si>
    <t>Toward the Light</t>
  </si>
  <si>
    <t>Select a friendly Legion within the current Region. After a 6s charge-up, your Legion and 5 nearby friendly Legions are teleported to the target's location.
Your Legions will be prioritized for teleportation ahead of any other friendly Legions.If the target is within Alliance territory, cooldown is greatly reduced.</t>
  </si>
  <si>
    <t>Cooldown (hours): 7/6/5/4/3</t>
  </si>
  <si>
    <t>Dragonscale Armor</t>
  </si>
  <si>
    <t>Infantry Unit HP</t>
  </si>
  <si>
    <t>Entangling Flames</t>
  </si>
  <si>
    <t>Grants a Boon Shield to your Legion. Grants Keen to up to 3 friendly Legions in a designated circle.
Boon Shield Factor: 2200
Boon Shield Duration: 10s
Keen: ATK +10% for 10s
Passive: Your Legion gains Ranged Resistance when the wielder gains a shield through Rage Skills.
Ranged Resistance: Ranged Damage taken -9% for 5s</t>
  </si>
  <si>
    <t>Shield Factor: 2200/2700/3300/3900/4500
Damage Taken From Ranged Unit Reduction: 9%/11%/13%/15%/18%</t>
  </si>
  <si>
    <t>Rattle-Spear</t>
  </si>
  <si>
    <t>Vicious Strike</t>
  </si>
  <si>
    <t>Strikes three times in a designated arc.
The first strike has a short charge-up.
The direction of subsequent strikes can change depending on the target's location..
Damage Type: Artifact Skill Damage (Physical)
Damage Factor: 1200
Inflicts Slow: March Speed -20% for 3s.
Additional Effect: When your Legion inflicts DEF Break on an enemy Legion, your Legion gains DEF Penetration: ignore 10% of the enemy's DEF for 7s.</t>
  </si>
  <si>
    <t>Skill Damage Factor: 1200/1500/1800/2100/2500
DEF Penetration: 10%/12%/14%/17%/20%</t>
  </si>
  <si>
    <t>Cloak of Stealth</t>
  </si>
  <si>
    <t>epic</t>
  </si>
  <si>
    <t>1h</t>
  </si>
  <si>
    <t>Subterfuge</t>
  </si>
  <si>
    <t>Grants your Legions Stealth: March Speed -15% for 300s.
While in Stealth, Legions can only be detected if they move too close to the enemy.
Launching attacks, taking damage, or opening Chests will cause Stealth to expire.</t>
  </si>
  <si>
    <t>Duration: 300/600/900/1300/1800
March Speed reduction: 25%/25%/25%/25%/15%</t>
  </si>
  <si>
    <t>Heartpiercer</t>
  </si>
  <si>
    <t>Heart Shot</t>
  </si>
  <si>
    <t>Deals damage to the selected Legion.
Damage Type: Artifact Skill Damage (Physical)
Damage Factor: 1000
Target has 40% chance to gain Physical DEF Break: Physical DEF -15% for 3s.</t>
  </si>
  <si>
    <t>Skill Damage Factor: 1000/1200/1400/1700/2000
Probability: 40%/45%/50%/55%/65%</t>
  </si>
  <si>
    <t>Bomb Flinger</t>
  </si>
  <si>
    <t>Bomb Away</t>
  </si>
  <si>
    <t>Deals damage to the selected Legion (Darklings, Dark Creatures, and Behemoths only).
Damage Type: Artifact Skill Damage (Physical)
Damage Factor: 1200
Damaged targets have a 40% chance to be Stunned: cannot move or act for 2s.</t>
  </si>
  <si>
    <t>Skill Damage Factor: 1200/1500/1800/2100/2400
Probability: 40%/50%/60%/70%/80%</t>
  </si>
  <si>
    <t>Enchiridion of Advanced Incantations</t>
  </si>
  <si>
    <t>Fireburst</t>
  </si>
  <si>
    <t>Deals damage to the selected Legion (Darklings, Dark Creatures, and Behemoths only).
Damage Type: Artifact Skill Damage (Magic)
Damage Factor:1400</t>
  </si>
  <si>
    <t>Skill Damage Factor: 1400/1700/2000/2400/2800</t>
  </si>
  <si>
    <t>Homecoming Blossom</t>
  </si>
  <si>
    <t>1h30</t>
  </si>
  <si>
    <t>Recall</t>
  </si>
  <si>
    <t>After a short charge-up, teleports your Legion back to near your City.
Moving, being attacked, or gaining control effects will interrupt charge-up.</t>
  </si>
  <si>
    <t>Cooldown (minutes): 90/80/70/50/30</t>
  </si>
  <si>
    <t>Greenfinger Sickle</t>
  </si>
  <si>
    <t>Legion Load Capacity</t>
  </si>
  <si>
    <t>12h</t>
  </si>
  <si>
    <t>Quick Gather</t>
  </si>
  <si>
    <t>Immediately gathers resources from a chosen Resource Point (Gold, Wood, Ore, or Mana).
Gold/Wood: 100 000
Ore: 75 000
Mana: 40 000
Resources gathered cannot exceed the Legion's Load Capacity or the Resource Point's remaining resources.</t>
  </si>
  <si>
    <t>Resources gathered (Gold, Wood): 100000/150000/200000/280000/400000
Resources gathered (Ore): 75000/112500/150000/210000/300000
Resources gathered (Mana): 40000/60000/80000/112000/160000</t>
  </si>
  <si>
    <t>Blade of Reproach</t>
  </si>
  <si>
    <t>45s</t>
  </si>
  <si>
    <t>Reproach</t>
  </si>
  <si>
    <t>Deals damage to the selected Legion (Darklings, Dark Creatures, and Behemoths only).
Damage Type: Artifact Skill Damage (Physical)
Damage Factor:1000
Grants 1 buff every time this Skill defeats a targeted Legion.
Buff Effect: Reproach damage +20%
Max Stacks: 5
Buff lasts until the Legion enters a City, Stronghold, or Resource Point.</t>
  </si>
  <si>
    <t>Skill Damage Factor: 1000/1200/1400/1700/2000</t>
  </si>
  <si>
    <t>Staff of Spring</t>
  </si>
  <si>
    <t>Salve</t>
  </si>
  <si>
    <t>Heals lightly wounded units in the selected Legion.
Healing Factor: 1200</t>
  </si>
  <si>
    <t>Healing Factor: 1200/1500/1800/2100/2400</t>
  </si>
  <si>
    <t>Potion of Vigor</t>
  </si>
  <si>
    <t>Building Engineering</t>
  </si>
  <si>
    <t>Engineering</t>
  </si>
  <si>
    <t>6h</t>
  </si>
  <si>
    <t>Quick Build</t>
  </si>
  <si>
    <t>Increases your Legion's Engineering.
Buff Effect: Engineering +62% for 1800s (30m)</t>
  </si>
  <si>
    <t>Engineering bonus: 50%/62%/74%/87%/100%</t>
  </si>
  <si>
    <t>Giant's Bone</t>
  </si>
  <si>
    <t>Power Strike</t>
  </si>
  <si>
    <t>Deals damage up to 3 enemy Legions in a forward arc (Darklings, Dark Creatures, and Behemoths only).
Damage Type: Artifact Skill Damage (Physical/Magic)
Damage Factor:1000
Target take 15% less damage per additional target.
40% chance to knock targets Airborne: cannot move for 3s.</t>
  </si>
  <si>
    <t>Skill Damage Factor: 1000/1200/1400/1700/2000
Airborne probability: 40%/45%/50%/55%/65%</t>
  </si>
  <si>
    <t>Magic Bomb</t>
  </si>
  <si>
    <t>Time Bomb</t>
  </si>
  <si>
    <t>Throws a Magic Bomb at the selected Legion. After 8s, the bomb explodes, dealing damage to up to 3 nearby enemy Legions.
Damage Type: Artifact Skill Damage (Magic)
Damage Factor: 900
Enemy Legions take 15% less damage per additional target.</t>
  </si>
  <si>
    <t>Skill Damage Factor: 900/1100/1300/1500/1800</t>
  </si>
  <si>
    <t>Butcher's Blade</t>
  </si>
  <si>
    <t>Butchering Blow</t>
  </si>
  <si>
    <t>Deals damage twice to up to 3 enemy Legions in a forward arc.
Damage Type: Artifact Skill Damage (Physical)
Damage Factor: 450 each time
Enemy Legions take 15% less damage per additional target.</t>
  </si>
  <si>
    <t>Skill Damage Factor: 450/550/650/750/900</t>
  </si>
  <si>
    <t>Archery Master's Manual</t>
  </si>
  <si>
    <t>Steady Shot</t>
  </si>
  <si>
    <t>Grants your Legion Keen: ATK +12% for 20s.</t>
  </si>
  <si>
    <t>ATK Bonus: 12%/15%/18%/21%/25%</t>
  </si>
  <si>
    <t>Freezing Ring</t>
  </si>
  <si>
    <t>4m</t>
  </si>
  <si>
    <t>Frost Barrier</t>
  </si>
  <si>
    <t>Suspends your Legion for up to 8s.
After Suspension ends, up to 10 surrounding enemy Legions are Slowed: March Speed -30% for 5s.
Casting again while Suspension is still active will cancel Suspension prematurely.</t>
  </si>
  <si>
    <t>Invulnerability duration: 5/6/7/8/10</t>
  </si>
  <si>
    <t>Codex of Prophecy</t>
  </si>
  <si>
    <t>Infantry Unit DEF</t>
  </si>
  <si>
    <t>Peacekeeping Damage Taken</t>
  </si>
  <si>
    <t>Sacred Shield</t>
  </si>
  <si>
    <t>Grants a Shield to your Legion and 3 nearby friendly Legions.
Shield absorbs damage from Darklings, Dark Creatures, and Behemoths only.
Shield Factor: 1200
Shield Duration: 15s
Shields do not stack.</t>
  </si>
  <si>
    <t>Shield Factor: 1200/1500/1800/2100/2400
Number of friendly Legions: 3/4/5/6/9</t>
  </si>
  <si>
    <t>Amulet of Glory</t>
  </si>
  <si>
    <t>Protective Aura</t>
  </si>
  <si>
    <t>Grants a buff to your Legion and 4 nearby friendly Legions once every 2s for 15s.
Effect: Damage taken from Darklings and Dark Creatures -12%</t>
  </si>
  <si>
    <t>Peacekeeping damage taken reduction: 12%/15%/18%/21%/24%</t>
  </si>
  <si>
    <t>Centaur Bow</t>
  </si>
  <si>
    <t>Cavalry Unit DEF</t>
  </si>
  <si>
    <t>Hail of Arrows</t>
  </si>
  <si>
    <t>Deals damage to up to 3 enemy Legions in a designated circle.
Damage Type: Artifact Skill Damage (Physical)
Damage Factor: 1500
Enemy Legions take 15% less damage per additional target.</t>
  </si>
  <si>
    <t>Skill Damage Factor: 750/900/1100/1300/1500</t>
  </si>
  <si>
    <t>Spirit Bangle</t>
  </si>
  <si>
    <t>9m</t>
  </si>
  <si>
    <t>Cleansing Charm</t>
  </si>
  <si>
    <t>Removes 1 debuff or impairment effect from up to 5 surrounding friendly Legions.
This Artifact Skill can still be cast when your Legion is subject to control effects.</t>
  </si>
  <si>
    <t>Cooldown (minutes): 9/8/7/5/3</t>
  </si>
  <si>
    <t>Harlequin Mask</t>
  </si>
  <si>
    <t>rare</t>
  </si>
  <si>
    <t>Taunt</t>
  </si>
  <si>
    <t>Forces the selected Legion to attack your Legion for 5s.
Only affects Darklings, Dark Creatures, and Behemoths.</t>
  </si>
  <si>
    <t>Cooldown (seconds): 90/75/60/45/30</t>
  </si>
  <si>
    <t>Crown of the Berserker</t>
  </si>
  <si>
    <t>Will of the Wolf</t>
  </si>
  <si>
    <t>Grants your Legion:
1) Keen: ATK +10%
2) Haste: March Speed +20%
3) DEF Break: DEF -10%
Effect Duration: 10s</t>
  </si>
  <si>
    <t>ATK Bonus: 10%/12%/14%/17%/20%</t>
  </si>
  <si>
    <t>Boots of Swiftness</t>
  </si>
  <si>
    <t>Swiftness</t>
  </si>
  <si>
    <t>Grants your Legion and 9 surrounding friendly Legions Haste for 10s.
Haste: March Speed +15%
After Haste ends, Legions are Slowed: March Speed -15% for 5s.</t>
  </si>
  <si>
    <t>March Speed bonus: 15%/18%/22%/26%/30%
March Speed reduction: 15%/18%/22%/26%/30%</t>
  </si>
  <si>
    <t>Rapid Crossbow</t>
  </si>
  <si>
    <t>Marksman Unit HP</t>
  </si>
  <si>
    <t>Arrow Strafe</t>
  </si>
  <si>
    <t>Deals damage to the selected Legion 2 times.
Damage Type: Artifact Skill Damage (Physical)
Damage Factor:250 each time</t>
  </si>
  <si>
    <t>Damage Factor per hit: 250/300/350/420/500</t>
  </si>
  <si>
    <t>Ever-Ice</t>
  </si>
  <si>
    <t>Ice-Cold Heart</t>
  </si>
  <si>
    <t>After a short charge-up, deals damage to 2 enemy LEgions in a designated circle.
Damage Type: Artifact Skill Damage (Magic)
Damage Factor: 300
Target is Frozen: March Speed -5% for 5s.</t>
  </si>
  <si>
    <t>Skill Damage Factor: 300/360/420/500/600
March Speed reduction: 5%/6%/7%/8%/10%</t>
  </si>
  <si>
    <t>Illusory Gems</t>
  </si>
  <si>
    <t>2m30</t>
  </si>
  <si>
    <t>Gemstravaganza</t>
  </si>
  <si>
    <t>Transforms you into the richest guy on the street.</t>
  </si>
  <si>
    <t>Cooldown (seconds): 150/135/120/105/90</t>
  </si>
  <si>
    <t>Bone Cleaver</t>
  </si>
  <si>
    <t>Bone Smash</t>
  </si>
  <si>
    <t>Deals damage to the selected Legion.
Damage Type: Artifact Skill Damage (Phyisical)
Damage Factor: 400
Damage Factor is increased to 1200 when your Legion's Unit Count is above 50%.</t>
  </si>
  <si>
    <t>Skill Damage Factor: 400/480/560/680/800
Damage Factor after upgrade: 600/720/840/1000/1200</t>
  </si>
  <si>
    <t>Veteran's Diary</t>
  </si>
  <si>
    <t>Battle Hardened</t>
  </si>
  <si>
    <t>Grants your Legion Onslaught: normal attack damage dealt +30% for 10s.</t>
  </si>
  <si>
    <t>Normal attack damage bonus: 30%/36%/42%/50%/60%</t>
  </si>
  <si>
    <t>Enchanted Coins</t>
  </si>
  <si>
    <t>uncommon</t>
  </si>
  <si>
    <t>Money Talks</t>
  </si>
  <si>
    <t>Donate generously, and scatter your gold upon the earth.</t>
  </si>
  <si>
    <t>Storm Leaf</t>
  </si>
  <si>
    <t>1m10</t>
  </si>
  <si>
    <t>Fierce Gale</t>
  </si>
  <si>
    <t>Let them suffer the storm's wrath... well, displeasure.</t>
  </si>
  <si>
    <t>Cooldown (seconds): 70/60/50/40/30</t>
  </si>
  <si>
    <t>Joyous Fireworks</t>
  </si>
  <si>
    <t>Perfect Moment</t>
  </si>
  <si>
    <t>Sets off joyous fireworks.</t>
  </si>
  <si>
    <t>Greymar's Warhammer</t>
  </si>
  <si>
    <t>Ground Pound</t>
  </si>
  <si>
    <t>Deals diffused damage to up to 4 enemy Legions in a designated circle.
Damage Type: Physical
Damage Factor: 1600
Damaged Legions are Stunned for 2s.
Effect can be triggered once every 10s.</t>
  </si>
  <si>
    <t>Skill Damage Factor: 1600/2000/2400/2800/3200
Max targets: 4/4/4/4/5</t>
  </si>
  <si>
    <t>Breath of Jargentis</t>
  </si>
  <si>
    <t>Acid Breath</t>
  </si>
  <si>
    <t>Targets up to 10 enemy Legions in a designated circle.
Inflicts DEF Break: DEF -16% for 20s.</t>
  </si>
  <si>
    <t>DEF reduction: 16%/20%/24%/28%/32%</t>
  </si>
  <si>
    <t>Oath of Stormpeak</t>
  </si>
  <si>
    <t>Hallowed Covenant</t>
  </si>
  <si>
    <t>Summons a clone of your Legion.
The cloned Legion deals 50% of the damage your Legion can deal, and takes 50% more damage than your Legion would. If your Legion is a Cavalry Legion, the cloned Legion gains 1000 Rage upon entering battle. Cloned Legions disappear 10s after being summoned.
Additional Effect
When your Legion inflicts Cowardice on an enemy Legion, your Legion gains Rampage: damage dealt +4% for 10s.</t>
  </si>
  <si>
    <t>Damage dealt: 50%/60%/70%/85%/100%
Damage dealt bonus: 4%/5%/6%/8%/10%</t>
  </si>
  <si>
    <t>Springblades</t>
  </si>
  <si>
    <t>Cyclone Blade</t>
  </si>
  <si>
    <t>Throws a blade that deals diffused damage to up to 3 Legions in a designated circle every second for 5s before returning to your Legion's position. When returning, the blade deals diffused damage to up to 3 Legions in its path.
Damage Type: Physical
Damage Factor (Throw): 200
Damage Factor (Return): 1000
Additional Effect
When your Legion gains Passion, they also gain Keen: ATK +15% for 5s.</t>
  </si>
  <si>
    <t>Skill Damage Factor: 200/250/300/350/400
Skill Damage Factor: 1000/1200/1400/1700/2000
ATK bonus: 15%/18%/21%/25%/30%</t>
  </si>
  <si>
    <t>Goldcrest</t>
  </si>
  <si>
    <t>Shadowflight</t>
  </si>
  <si>
    <t>Deals damage to the selected Legion.
Damage Type: Physical
Damage Factor: 2800
Your Legion gains Haste: March Speed +15% for 10s.
Additional Effect
When Ffraegar is in your Legion, casting Artifact Skills deals additional damage.
Damage Type: Physical
Damage Factor: 900
The target Legion is also Immobilized: cannot move for 3s.
Effect can be triggered once every 10s.</t>
  </si>
  <si>
    <t>Skill Damage Factor: 2800/3400/4100/4800/5500
Duration: 10/12/14/17/20
Additional Damage Factor: 900/1100/1500/1800
Immobilize duration: 3/3/4/4/5</t>
  </si>
  <si>
    <t>Spiritbone Torc</t>
  </si>
  <si>
    <t>Mocking Chorus</t>
  </si>
  <si>
    <t>Grants 600 Rage Points and taunts up to 5 surrounding enemy Legions, forcing them to attack your Legion for 3s.
Your Legion also gains Shelther and Determination for 30s.
Shelter: DEF +15%
Determination: Normal attack damage taken -5%
Additional Effect
Infantry units in your Legion deal 10% more counterattack damage.</t>
  </si>
  <si>
    <t>Taunt Duration: 3/3/4/4/5
DEF bonus: 15%/18%/21%/25%/30%
Normal attack damage taken reduction: 5%/6%/7%/8%/10%</t>
  </si>
  <si>
    <t>Mirage Orb</t>
  </si>
  <si>
    <t>Nightmarish Reverie</t>
  </si>
  <si>
    <t>Deals damage to the target Legion, then knocks 2 enemy Legions near the target Airbone deals diffused damage to them.
Damage Type: Magic
Damage Factor (Target): 3000
Damage Factor (Other Legions): 1000
Additional Effect
Every time your Legion gains a buff effect through a Hero Skill, they deal 7% more Artifact Skill Damage, up to a maximum of 21%.
Duration: 20s</t>
  </si>
  <si>
    <t>Skill Damage Factor: 3000/3500/4000/5000/6000
Skill Damage Factor: 1000/1250/1500/1750/2000
Artifact Skill damage dealt bonus: 7%/9%/11%/13%/15%</t>
  </si>
  <si>
    <t>Viola's Bow</t>
  </si>
  <si>
    <t>Terminating Arrow</t>
  </si>
  <si>
    <t>Deals diffused damage to up to 5 enemy Legions in a designated rectangle;
Damage Type: Physical
Damage Factor: 3200
Damaged Legion are Sealed: cannot cast Artifact Skills for 10s.</t>
  </si>
  <si>
    <t>Gilded Crossbow</t>
  </si>
  <si>
    <t>Glittering Bolt</t>
  </si>
  <si>
    <t>Deals diffused damage every second to up to 3 Legions within range, and increases your March Speed by 50%. You can move while this Skill is active.
Damage Type: Physical
Damage Factor:1,300
Duration: 4s
Additional Effect
Increases your Legion's enemy HP bypass by up to 15%. (1,5% per Zayda's Dawnwatcher Stacks)
Effect persists until end of battle.</t>
  </si>
  <si>
    <t>Skill Damage Factor: 650/800/950/1100/1300</t>
  </si>
  <si>
    <t>Mad Goblin's Boon</t>
  </si>
  <si>
    <t>Illegal Mining</t>
  </si>
  <si>
    <t>Cast when gathering Gold, Wood, Ore, Mana or Gems. If the Resource Point has fewer than 50% resources remaining, it will be destroyed and the Legion will immediately return to your City.</t>
  </si>
  <si>
    <t>Resources remaining: 50%/60%/70%/80%/90%
Cooldown (minutes): 120/90/70/50/30</t>
  </si>
  <si>
    <t>Manastone Hunter</t>
  </si>
  <si>
    <t>24h</t>
  </si>
  <si>
    <t>Manastone Navigator</t>
  </si>
  <si>
    <t>Afther a short charge-up, creates Manastone at a random location near the Legion, with a 5% chance of creating Legendary Manastone.
This Manastone can be only be gathered by the Legion that created it, and will disappear after 10m.</t>
  </si>
  <si>
    <t>Legendary chance: 5%/20%/40%/70%/100%</t>
  </si>
  <si>
    <t>Deathless Vines</t>
  </si>
  <si>
    <t>Ancient Entanglement</t>
  </si>
  <si>
    <t>Inflicts Immobilize on up to 3 enemy Legions in a designated circle for 5s, and grants Shelter to up to 2 surrounding friendly Legions including your own 10s. Artifact range is increased when leading an Infantry Legion.
Immobilize: Legion cannot move.
Shelter: DEF +20%
Immobilize can be inflicted once every 10s.
Additional Effect
When a Legion receives healing via a Hero Skill, Artifact Skill cooldown is reduced by 4s for 600 points of Healing Factor. Effect can be triggered once every 6s.</t>
  </si>
  <si>
    <t>DEF bonus: 20%/25%/30%/35%/40%
Enemy Legions Targeted: 3/3/4/4/5
Artifact Skill Cooldown Reduction (seconds) 4/5/6/7/8</t>
  </si>
  <si>
    <t>Wolf-Howl Horn</t>
  </si>
  <si>
    <t>Terrible Howl</t>
  </si>
  <si>
    <t>Summons a cavalry charge in a designated direction, dealing damage to up to 3 enemy Legions and inflicts Tremple for 2s.
Damage Type: Physical
Damage Factor: 2200
Additional Effect
When a Cavalry Hero Commander launches a Rage Skill, damaged target Legions gains Bleed: deals damage every second for 3s.
Damage Type: Physical
Damage Factor: 300
Effect can be triggered once every 90s.</t>
  </si>
  <si>
    <t>Skill Damage Factor: 2200/2750/3300/3850/4400
Tremble Duration: 2/2/2/3/3
Continious Damage Factor: 300/375/450/525/600</t>
  </si>
  <si>
    <t>Shield of Sturdiness</t>
  </si>
  <si>
    <t>Courageous Rush</t>
  </si>
  <si>
    <t>Rushes in a designated direction, dealing diffused damage to up to 3 enemy Legions in their path.
Damaged Legions are Stunned for 2s and pushed to the end of the Rush path.
Damage Type: Physical
Damage Factor: 2200
Additional Effect
When the wielder gains a shield via a Rage Skill, their Legion deals 12% more Hero Skill damage for 5s.</t>
  </si>
  <si>
    <t>Skill Damage Factor: 2200/2750/3300/3850/4400
Hero Skill damage dealt bonus: 12%/15%/18%/21%/25%</t>
  </si>
  <si>
    <t>Iron Tusk</t>
  </si>
  <si>
    <t>Rapid Salvo</t>
  </si>
  <si>
    <t>Fires a hail of bolts in a forward cone, dealing diffused Physical damage every second to up to 5 enemy Legions within the cone for 3s (Damage Factor 800 per second).
Additional Effect
When a Penetrating Bolt deals damage, the wielder deals 10% more Hero Skill damage for 10s.</t>
  </si>
  <si>
    <t>Skill Damage Factor: 800/1000/1200/1400/1600
Hero Skill damage dealt bonus: 10%/12%/14%/17%/20%</t>
  </si>
  <si>
    <t>Thunder Elegy</t>
  </si>
  <si>
    <t>Thunderfield</t>
  </si>
  <si>
    <t>Deals diffused Magic damage (Damage Factor 350) every second up to 5 enemy Legion in a designated circle, and inflicts Silence: cannot cast Rage Skills for 5s.
Legion affected by this Skill cannot leave the circle. Silence can be triggered once every 10s.
Additional Effect
Whenever they inflict Numbness upon a enemy Legion, the wielder's Legion gains Resistance: damage taken -5% for 3s.</t>
  </si>
  <si>
    <t>Skill Damage Factor: 350/450/550/650/750
Damage taken reduction: 5%/6%/7%/8%/10%</t>
  </si>
  <si>
    <t>Lunaris</t>
  </si>
  <si>
    <t>Moon's Judgment</t>
  </si>
  <si>
    <t>Deals diffused damage to up to 3 enemy Legions in a designated cone. Grants the Legion Rampage and Resistance for 10s.
Rampage: Damage dealt +7%
Resistance: Damage taken -5%
Damage Type: Physical
Damage Factor: 2200
Additional Effect
Legion gains Haste while Camouflaged, and gains Synergy when the Camouflaged status is removed.
Haste: March Speed +20%
Synergy: Hero Skill damage +10% for 15s.</t>
  </si>
  <si>
    <t>Skill Damage Factor: 2200/2750/3300/3850/4400
Damage deault bonus: 7%/9%/11%/13%/15%
Damage taken reduction: 5%/6%/7%/8%/10%
March Speed bonus: 20%/25%/30%/35%/40%
Hero Skill damage deault bonus: 10%/12%/14%/17%20%</t>
  </si>
  <si>
    <t>Serpent's Edge</t>
  </si>
  <si>
    <t>Bloodbite</t>
  </si>
  <si>
    <t>For the next 20s, the Legion gains 30% HP, and deals diffused Physical damage to up to 3 nearby enemy Legions every 3s (Damage Factor 400). Targets gain Slow: March Speed -10% for 3s.
Additional Effect
When gaining an HP buff via a Hero Skill, the Legion gains 10% ATK and DEF for 5s (max 5 stacks).</t>
  </si>
  <si>
    <t>No motivation atm</t>
  </si>
  <si>
    <t>Same</t>
  </si>
  <si>
    <t># of upgrade</t>
  </si>
  <si>
    <t>Legendary</t>
  </si>
  <si>
    <t>Total Leg</t>
  </si>
  <si>
    <t>Epic</t>
  </si>
  <si>
    <t>Rare</t>
  </si>
  <si>
    <t>1/1/1/1</t>
  </si>
  <si>
    <t>4 Upgrades per Skill</t>
  </si>
  <si>
    <t>5/1/1/1</t>
  </si>
  <si>
    <t>5/5/1/1</t>
  </si>
  <si>
    <t>5/5/5/1</t>
  </si>
  <si>
    <t>5/5/5/5</t>
  </si>
  <si>
    <t>235+</t>
  </si>
  <si>
    <t>Damage:</t>
  </si>
  <si>
    <t>Stats:</t>
  </si>
  <si>
    <t>Inf: 15 CA</t>
  </si>
  <si>
    <t>1000 x3 (Diffused)</t>
  </si>
  <si>
    <t>10 ATK</t>
  </si>
  <si>
    <t>Cav: 6 DMG Flat</t>
  </si>
  <si>
    <t>30 Rage</t>
  </si>
  <si>
    <t>20 March Speed</t>
  </si>
  <si>
    <t>MM: 20 NA DMG</t>
  </si>
  <si>
    <t>20 DEF (merge with ATK Resistance)</t>
  </si>
  <si>
    <t>Mage: 10 DMG Res</t>
  </si>
  <si>
    <t>300 Damage every 15s</t>
  </si>
  <si>
    <t>Daily</t>
  </si>
  <si>
    <t>Monthly 1</t>
  </si>
  <si>
    <t>Monthly 2</t>
  </si>
  <si>
    <t>ID</t>
  </si>
  <si>
    <t>Tree</t>
  </si>
  <si>
    <t>NodeID</t>
  </si>
  <si>
    <t>Requirement</t>
  </si>
  <si>
    <t>-3.1</t>
  </si>
  <si>
    <t>Foundation Talents</t>
  </si>
  <si>
    <t>-2.2</t>
  </si>
  <si>
    <t>-2.1</t>
  </si>
  <si>
    <t>-1.3</t>
  </si>
  <si>
    <t>-1.2</t>
  </si>
  <si>
    <t>-1.1</t>
  </si>
  <si>
    <t>Precision</t>
  </si>
  <si>
    <t>Skills</t>
  </si>
  <si>
    <t>Overall</t>
  </si>
  <si>
    <t>Foundation Talents (Gathering Hero)</t>
  </si>
  <si>
    <t>Max Rank</t>
  </si>
  <si>
    <t>Description</t>
  </si>
  <si>
    <t>Node Type</t>
  </si>
  <si>
    <t>Image</t>
  </si>
  <si>
    <t>Value 1</t>
  </si>
  <si>
    <t>Value 2</t>
  </si>
  <si>
    <t>Value 3</t>
  </si>
  <si>
    <t>Value 4</t>
  </si>
  <si>
    <t>Value 5</t>
  </si>
  <si>
    <t>Bonus</t>
  </si>
  <si>
    <t>Overall Attack</t>
  </si>
  <si>
    <t>Increases the ATK of your Legion's units by {value}%.</t>
  </si>
  <si>
    <t>node</t>
  </si>
  <si>
    <t>attack</t>
  </si>
  <si>
    <t>STATS_ATK</t>
  </si>
  <si>
    <t>Overall Speed</t>
  </si>
  <si>
    <t>Increases the March Speed of your Legion's unit by {value}%.</t>
  </si>
  <si>
    <t>speed</t>
  </si>
  <si>
    <t>STATS_MS</t>
  </si>
  <si>
    <t>Overall Defense</t>
  </si>
  <si>
    <t>Increases the DEF of your Legion's unit by {value}%.</t>
  </si>
  <si>
    <t>defense</t>
  </si>
  <si>
    <t>STATS_DEF</t>
  </si>
  <si>
    <t>Overall Health</t>
  </si>
  <si>
    <t>Increases the HP of your Legion's unit by {value}%.</t>
  </si>
  <si>
    <t>hp</t>
  </si>
  <si>
    <t>STATS_HP</t>
  </si>
  <si>
    <t>Logistics Master</t>
  </si>
  <si>
    <t>Increases your Legion's Gather Speed by {value}%.</t>
  </si>
  <si>
    <t>gather</t>
  </si>
  <si>
    <t>GATHERINGSTATS_GATHER</t>
  </si>
  <si>
    <t>(archer)</t>
  </si>
  <si>
    <t>(mage)</t>
  </si>
  <si>
    <t>Head Held High</t>
  </si>
  <si>
    <t>Launching a normal attack has a 10% chance to grant your Legion {value} Rage.</t>
  </si>
  <si>
    <t>rage</t>
  </si>
  <si>
    <t>NA_RAGE</t>
  </si>
  <si>
    <t>(cavalry)</t>
  </si>
  <si>
    <t>Arrow of Precision</t>
  </si>
  <si>
    <t>Your Legion deals 2% more normal attack damage, and ignores 1% of the enemy's DEF while in battle.</t>
  </si>
  <si>
    <t>main_node</t>
  </si>
  <si>
    <t>def_break</t>
  </si>
  <si>
    <t>STATS_ARROW_OF_PRECISION</t>
  </si>
  <si>
    <t>(infantry)</t>
  </si>
  <si>
    <t>Marksman ATK</t>
  </si>
  <si>
    <t>Increases the ATK of your Legion's Marksman units by {value}%.</t>
  </si>
  <si>
    <t>STATS_ATK(archer)</t>
  </si>
  <si>
    <t>Fully Loaded</t>
  </si>
  <si>
    <t>Your Legion deals {value}% more normal attack damage when launching ranged attacks.</t>
  </si>
  <si>
    <t>normal_attack</t>
  </si>
  <si>
    <t>STATS_NA</t>
  </si>
  <si>
    <t>Trigger</t>
  </si>
  <si>
    <t>Marksman Speed</t>
  </si>
  <si>
    <t>Increases the March Speed of your Legion's Marksman unit by {value}%.</t>
  </si>
  <si>
    <t>STATS_MS(archer)</t>
  </si>
  <si>
    <t>STATS_</t>
  </si>
  <si>
    <t>Raw Stats</t>
  </si>
  <si>
    <t>Intimidation</t>
  </si>
  <si>
    <t>Your Legion deals {value}% more Hero Skill damage.</t>
  </si>
  <si>
    <t>intimidation</t>
  </si>
  <si>
    <t>STATS_HS</t>
  </si>
  <si>
    <t>RS_</t>
  </si>
  <si>
    <t>On Rage Skill</t>
  </si>
  <si>
    <t>Reduces the Attack Range of your Legion's Marksman units by 3, but increases their ATK by {value}%.</t>
  </si>
  <si>
    <t>STATS_STEADY_SHOT</t>
  </si>
  <si>
    <t>NA_</t>
  </si>
  <si>
    <t>On Normal Attack</t>
  </si>
  <si>
    <t>Alert</t>
  </si>
  <si>
    <t>Your Legion takes {value}% less damage.</t>
  </si>
  <si>
    <t>angel</t>
  </si>
  <si>
    <t>STATS_RES</t>
  </si>
  <si>
    <t>BATTLE_</t>
  </si>
  <si>
    <t>When in battle, get x every x</t>
  </si>
  <si>
    <t>Bullseye</t>
  </si>
  <si>
    <t>When your Legion consists entirely of Marksman units, they gain 5 stacks of ATK Increase every 10s while in battle.
Each stack increases their ATK by 1%.
Each normal attack they launch removes 1 stack.</t>
  </si>
  <si>
    <t>major_node</t>
  </si>
  <si>
    <t>bullseye</t>
  </si>
  <si>
    <t>BATTLE_BULLEYE</t>
  </si>
  <si>
    <t>ARTIFACT_</t>
  </si>
  <si>
    <t>On Artifacts Skill</t>
  </si>
  <si>
    <t>Shower of Blows</t>
  </si>
  <si>
    <t>When casting Rage Skills, there is a 50% chance that your next Rage Skill will deal 8% more damage.</t>
  </si>
  <si>
    <t>RS_SHOWER_OF_BLOWS</t>
  </si>
  <si>
    <t>OVER_</t>
  </si>
  <si>
    <t>Unit Over</t>
  </si>
  <si>
    <t>Egoism</t>
  </si>
  <si>
    <t>Your Legion takes {value}% less Hero Skill damage.</t>
  </si>
  <si>
    <t>hs_def</t>
  </si>
  <si>
    <t>STATS_HS_RES</t>
  </si>
  <si>
    <t>LOWER_</t>
  </si>
  <si>
    <t>Unit Lower</t>
  </si>
  <si>
    <t>Marksman HP</t>
  </si>
  <si>
    <t>Increases the HP of your Legion's Marksman units by {value}%.</t>
  </si>
  <si>
    <t>STATS_HP(archer)</t>
  </si>
  <si>
    <t>OTHER_</t>
  </si>
  <si>
    <t>Like getting chest on gathering node or idk</t>
  </si>
  <si>
    <t>Magic Countertactics</t>
  </si>
  <si>
    <t>Your Legion's Marksman units deal {value}% more damage to Magic units.</t>
  </si>
  <si>
    <t>magic_counterattack</t>
  </si>
  <si>
    <t>STATS_DAMAGE_TO_MAGIC(archer)</t>
  </si>
  <si>
    <t>DEFEATING_</t>
  </si>
  <si>
    <t>On defeating legion</t>
  </si>
  <si>
    <t>Callousness</t>
  </si>
  <si>
    <t>When your Legion's Unit Count is below 50%, their ATK increases by {value}%.</t>
  </si>
  <si>
    <t>callousness</t>
  </si>
  <si>
    <t>LOWER_ATK</t>
  </si>
  <si>
    <t>DEBUFFAPPLIED_</t>
  </si>
  <si>
    <t>On debuff applied/inflicts</t>
  </si>
  <si>
    <t>Binding Snare</t>
  </si>
  <si>
    <t>When your Legion is hit with a normal attack, they have 10% chance to Slow the target Legion, reducing their March Speed by {value}% for 5s.</t>
  </si>
  <si>
    <t>slow_speed</t>
  </si>
  <si>
    <t>HIT_BINDING_SNARE</t>
  </si>
  <si>
    <t>DEBUFFRECEIVED_</t>
  </si>
  <si>
    <t>On debuff received</t>
  </si>
  <si>
    <t>Delight</t>
  </si>
  <si>
    <t>Increases Rage Accumulation Speed by {value}% when your Legion's Unit Count is over 50%.</t>
  </si>
  <si>
    <t>OVER_RAGE</t>
  </si>
  <si>
    <t>HEALING_</t>
  </si>
  <si>
    <t>On shield or healing received</t>
  </si>
  <si>
    <t>Bane of Darkness</t>
  </si>
  <si>
    <t>Your Legion deals {value}% more Peacekeeping damage.</t>
  </si>
  <si>
    <t>peacekeeping</t>
  </si>
  <si>
    <t>PEACEKEEPING_PK_DMG</t>
  </si>
  <si>
    <t>HIT_</t>
  </si>
  <si>
    <t>When hit by Normal Attack</t>
  </si>
  <si>
    <t>Burst Shot</t>
  </si>
  <si>
    <t>When your Marksman Legion launches a normal attack, they deal additional damage.
Damage Type: Physical
Damage Factor: 150
This effect can be triggered once every 10s.</t>
  </si>
  <si>
    <t>furious</t>
  </si>
  <si>
    <t>NA_BURST_SHOT</t>
  </si>
  <si>
    <t>UNIT_</t>
  </si>
  <si>
    <t>Legion Size</t>
  </si>
  <si>
    <t>Pursuit</t>
  </si>
  <si>
    <t>When your Legion consists entirely of Marksman units, they inflict Fragility when casting Rage Skills, increasing normal attack damage taken by 10% for 5s. This effect can be triggered once every 10s.</t>
  </si>
  <si>
    <t>RS_PURSUIT</t>
  </si>
  <si>
    <t>DMG_</t>
  </si>
  <si>
    <t>Arson</t>
  </si>
  <si>
    <t>When your Legion defeats an enemy Garrisoned Army, the time the City or Stronghold burns for is increased by {value}%.</t>
  </si>
  <si>
    <t>arson</t>
  </si>
  <si>
    <t>OTHER_ARSON</t>
  </si>
  <si>
    <t>START_</t>
  </si>
  <si>
    <t>At start of battle</t>
  </si>
  <si>
    <t>Adrenaline Rush</t>
  </si>
  <si>
    <t>Your Legion deal {value}% more normal attack damage.</t>
  </si>
  <si>
    <t>DEFPEN_</t>
  </si>
  <si>
    <t>Defense Penetration</t>
  </si>
  <si>
    <t>Watch This</t>
  </si>
  <si>
    <t>Increases damage dealt to Watch Towers by {value}%.</t>
  </si>
  <si>
    <t>watch</t>
  </si>
  <si>
    <t>OTHER_WATCH_THIS</t>
  </si>
  <si>
    <t>HPPEN_</t>
  </si>
  <si>
    <t>HP Bypass</t>
  </si>
  <si>
    <t>Fair Offense</t>
  </si>
  <si>
    <t>While serving as Rally Captain, you can force the enemy Rallied Army or Garrisoned Army into a Fair Fight. In a Fair Fight, all Unit Skills are disabled, and the attributes of Infantry, Cavalry, Marksman, and Magic units of the same level will be adjusted to the same values.</t>
  </si>
  <si>
    <t>trophy</t>
  </si>
  <si>
    <t>RALLY_FAIR_OFFENSE</t>
  </si>
  <si>
    <t>HSHIT_</t>
  </si>
  <si>
    <t>When hit by Rage Skill</t>
  </si>
  <si>
    <t>Landslide</t>
  </si>
  <si>
    <t>When your Legion's Unit Count is over 50%, units deal 3% more damage.</t>
  </si>
  <si>
    <t>landslide</t>
  </si>
  <si>
    <t>OVER_LANDSLIDE</t>
  </si>
  <si>
    <t>Last Word</t>
  </si>
  <si>
    <t>Your Legion deals {value}% more counterattack damage.</t>
  </si>
  <si>
    <t>counterattack</t>
  </si>
  <si>
    <t>STATS_CA</t>
  </si>
  <si>
    <t>Steel Monsoon</t>
  </si>
  <si>
    <t>Increases March Speed by {value}% for 10s when your Rallied Army leaves a building after launching a Rally.</t>
  </si>
  <si>
    <t>haste</t>
  </si>
  <si>
    <t>RALLY_STEEL_MONSOON</t>
  </si>
  <si>
    <t>Frustration</t>
  </si>
  <si>
    <t>When your Legion launches a normal attack, they have a 10% chance to reduce the target's healing and shield received by {value}% for 5s. This effect can be triggered once every 5s.</t>
  </si>
  <si>
    <t>blessing</t>
  </si>
  <si>
    <t>NA_FRUSTRATION</t>
  </si>
  <si>
    <t>Flank Protection</t>
  </si>
  <si>
    <t>Your Legion takes {value}% less bonus damage from being Surrounded.</t>
  </si>
  <si>
    <t>STATS_FLANK_PROTECTION</t>
  </si>
  <si>
    <t>War Banner</t>
  </si>
  <si>
    <t>Increases maximum Legion Capacity by {value}.</t>
  </si>
  <si>
    <t>STATS_UNIT</t>
  </si>
  <si>
    <t>Plan of Attack</t>
  </si>
  <si>
    <t>Increases ATK by {value}% and reduces Hero Skill damage taken by {value*2}% when your Legion is besieging a City or Stronghold.</t>
  </si>
  <si>
    <t>OTHER_PLAN_OF_ATTACK</t>
  </si>
  <si>
    <t>Frontline Support</t>
  </si>
  <si>
    <t>Reduces dead units in your Legion by {value}% when besieging a city (they will be severely wounded instead).</t>
  </si>
  <si>
    <t>support</t>
  </si>
  <si>
    <t>OTHER_FRONTLINE_SUPPORT</t>
  </si>
  <si>
    <t>Trailblazer</t>
  </si>
  <si>
    <t>Grants Rampage when your Legion enters battle, increasing damage dealt by 5% for 10s.</t>
  </si>
  <si>
    <t>trailblazer</t>
  </si>
  <si>
    <t>START_TRAILBLAZER</t>
  </si>
  <si>
    <t>Reversal of Fortune</t>
  </si>
  <si>
    <t>Increases the HP of your Legion by 1% every 10s to a maximum of 3% while in battle.</t>
  </si>
  <si>
    <t>BATTLE_REVERSAL_OF_FORTUNE</t>
  </si>
  <si>
    <t>All-Conquering</t>
  </si>
  <si>
    <t>Your Legion takes {value}% less normal attack damage.</t>
  </si>
  <si>
    <t>na_def</t>
  </si>
  <si>
    <t>STATS_RES_NA</t>
  </si>
  <si>
    <t>Strengthened Weaponry</t>
  </si>
  <si>
    <t>Your Legion deals 1% less Hero Skill damage, but their ATK is increased by {value}%.</t>
  </si>
  <si>
    <t>STATS_STRENGTHENED_WEAPONRY</t>
  </si>
  <si>
    <t>Irrepressible</t>
  </si>
  <si>
    <t>In battle, your Legion ignores {value}% of the enemy's DEF.</t>
  </si>
  <si>
    <t>STATS_DEFPEN</t>
  </si>
  <si>
    <t>Cool Under Pressure</t>
  </si>
  <si>
    <t>Your Legion deals {value}% more normal attack damage when their Unit Count is above 50%.</t>
  </si>
  <si>
    <t>OVER_NA</t>
  </si>
  <si>
    <t>Initial Intuition</t>
  </si>
  <si>
    <t>{value}% chance to remove a debuff effect when your Legion launches a normal attack.</t>
  </si>
  <si>
    <t>intuition</t>
  </si>
  <si>
    <t>NA_INITIAL_INTUITION</t>
  </si>
  <si>
    <t>Suppression</t>
  </si>
  <si>
    <t>25% to inflict Fragility on the target Legion when casting Rage Skills, increasing normal attack damage taken by {value}% for 5s.</t>
  </si>
  <si>
    <t>normal_attack2</t>
  </si>
  <si>
    <t>RS_SUPPRESSION</t>
  </si>
  <si>
    <t>Intrepid</t>
  </si>
  <si>
    <t>When your Legion launches a normal attack they have 100% chance to gain Normal Attack Focus, increasing their normal attack Crit Rate by {value}% for 5s. This effect can be triggered once every 8s.</t>
  </si>
  <si>
    <t>NA_INTREPID</t>
  </si>
  <si>
    <t>Dedication</t>
  </si>
  <si>
    <t>Launching a normal attack has a 10% chance to heal your Legion (Healing Factor {value}).</t>
  </si>
  <si>
    <t>crit_damage</t>
  </si>
  <si>
    <t>NA_DEDICATION</t>
  </si>
  <si>
    <t>Force of Will</t>
  </si>
  <si>
    <t>When casting Rage Skills, your Legion has a 25% chance to gain Onslaught, increasing their normal attack damage by {value}% for 5s.</t>
  </si>
  <si>
    <t>RS_FORCE_OF_WILL</t>
  </si>
  <si>
    <t>Unstoppable</t>
  </si>
  <si>
    <t>Your Legion deals {value}% more normal attack Crit damage.</t>
  </si>
  <si>
    <t>STATS_NA_CRIT_DMG</t>
  </si>
  <si>
    <t>Mighty Slash</t>
  </si>
  <si>
    <t>When launching a normal attack, your Legion has a 15% chance to trigger an additional normal attack. This effect can be triggered once every 20s.</t>
  </si>
  <si>
    <t>multiple_arrow</t>
  </si>
  <si>
    <t>NA_MIGHTY_SLASH</t>
  </si>
  <si>
    <t>Mark of War</t>
  </si>
  <si>
    <t>Increases the ATK of your Legion by 0.5% every 10s to a maximum of 3%.</t>
  </si>
  <si>
    <t>BATTLE_MARK_OF_WAR</t>
  </si>
  <si>
    <t>Radical</t>
  </si>
  <si>
    <t>Reduces your Legion's DEF by {value}%, but increases their damage dealt by {value*2}%.</t>
  </si>
  <si>
    <t>STATS_RADICAL</t>
  </si>
  <si>
    <t>Harvest</t>
  </si>
  <si>
    <t>Every time your Legion defeats an enemy Legion, their ATK increases by {value}%, up to a maximum of {value*2}%.</t>
  </si>
  <si>
    <t>DEFEATING_HARVEST</t>
  </si>
  <si>
    <t>Invincible</t>
  </si>
  <si>
    <t>When launching a normal attack, your Legion has a 10% chance to gain Onslaught, increasing their normal attack damage by 8% for 5s.</t>
  </si>
  <si>
    <t>NA_INVINCIBLE</t>
  </si>
  <si>
    <t>Whirlwind</t>
  </si>
  <si>
    <t>When launching a normal attack, your Legion has a 10% chance to deal Hero Skill damage (Damage Factor 150).</t>
  </si>
  <si>
    <t>cleave</t>
  </si>
  <si>
    <t>NA_WHIRLWIND</t>
  </si>
  <si>
    <t>Foresight</t>
  </si>
  <si>
    <t>When casting Rage Skills, your Legion has 25% chance to gain {value} Rage.</t>
  </si>
  <si>
    <t>RS_FORESIGHT</t>
  </si>
  <si>
    <t>Magic Speed</t>
  </si>
  <si>
    <t>Increases the March Speed of your Legion's Magic units by {value}%.</t>
  </si>
  <si>
    <t>STATS_MS(magic)</t>
  </si>
  <si>
    <t>Magic ATK</t>
  </si>
  <si>
    <t>Increases ATK of your Legion's Magic units by {value}%.</t>
  </si>
  <si>
    <t>STATS_ATK(magic)</t>
  </si>
  <si>
    <t>Magic Maelstrom</t>
  </si>
  <si>
    <t>When your Legion consists entirely of Magic units, they gain DEF Penetration before casting Rage Skills, ignoring 10% of the target's DEF for 5s. This effect can be triggered once every 30s.</t>
  </si>
  <si>
    <t>RS_MAGIC_MAELSTROM</t>
  </si>
  <si>
    <t>Energy Boost</t>
  </si>
  <si>
    <t>8% chance to add an additional target to Rage Skills that deal damage to multiple targets.</t>
  </si>
  <si>
    <t>RS_ENERGY_BOOST</t>
  </si>
  <si>
    <t>Orb of Protection</t>
  </si>
  <si>
    <t>When casting Rage Skills, your Legion has a 25% chance to gain a shield (Shield Factor {value}).</t>
  </si>
  <si>
    <t>orb_of_protection</t>
  </si>
  <si>
    <t>RS_ORB_OF_PROTECTION</t>
  </si>
  <si>
    <t>Infantry Countertactics</t>
  </si>
  <si>
    <t>Your Legion's Magic units deal {value}% more damage to Infantry units.</t>
  </si>
  <si>
    <t>armor_countertactics</t>
  </si>
  <si>
    <t>STATS_DMG_TO_INF(magic)</t>
  </si>
  <si>
    <t>Shelter of Compassion</t>
  </si>
  <si>
    <t>Increases your Legion's shield granted by {value}%</t>
  </si>
  <si>
    <t>STATS_SHIELD</t>
  </si>
  <si>
    <t>Chant</t>
  </si>
  <si>
    <t>Your Legion takes {value}% more Hero Skill damage, but their ATK is increasing by {value}%</t>
  </si>
  <si>
    <t>chant</t>
  </si>
  <si>
    <t>STATS_CHANT</t>
  </si>
  <si>
    <t>Wither</t>
  </si>
  <si>
    <t>When your Legion takes Skill damage, they have a 50% chance to inflict Magic DEF Break on the target Legion, reducing their Magic DEF by {value}% for 3s.</t>
  </si>
  <si>
    <t>cursed</t>
  </si>
  <si>
    <t>HSHIT_WITHER</t>
  </si>
  <si>
    <t>Cry Havoc</t>
  </si>
  <si>
    <t>When target Legion's Unit Count is less than 50%, your Legion deals {value}% more Hero Skill damage.</t>
  </si>
  <si>
    <t>LOWER_HS</t>
  </si>
  <si>
    <t>Insult to Injury</t>
  </si>
  <si>
    <t>When your Legion is only composed of Magic units, they deal {value}% more damage through continuous damage effects.</t>
  </si>
  <si>
    <t>fire</t>
  </si>
  <si>
    <t>STATS_DOT(magic)</t>
  </si>
  <si>
    <t>Bolt from the Blue</t>
  </si>
  <si>
    <t>When casting Rage Skill, your Legion gains Haste, increasing their March Speed by {value}% for 5s. This effect can only be triggered once every 10s.</t>
  </si>
  <si>
    <t>RS_BOLT_FROM_THE_BLUE</t>
  </si>
  <si>
    <t>Iconoclasm</t>
  </si>
  <si>
    <t>When your Legion is composed entirely of magic units, you deal 2% more Hero Skill damage for 10s every time you gain a buff effect, up to 10%.</t>
  </si>
  <si>
    <t>BUFF_ICONOCLASM(magic)</t>
  </si>
  <si>
    <t>Elemental Boost</t>
  </si>
  <si>
    <t>If your Legion consists entirely of Magic units, they gain Vigor when casting Rage Skills, increasing their HP by 15% for 4s. This effect can only be triggered once every 10s.</t>
  </si>
  <si>
    <t>RS_ELEMENTAL_BOOST(magic)</t>
  </si>
  <si>
    <t>Weakness Attack</t>
  </si>
  <si>
    <t>Your Legion deals {value}% more Peacekeeping normal attack damage.</t>
  </si>
  <si>
    <t>PEACEKEEPING_PK_NA</t>
  </si>
  <si>
    <t>Fighting Spirit</t>
  </si>
  <si>
    <t>Launching a Peacekeeping normal attack has a 10% chance to grant your Legion {value} Rage.</t>
  </si>
  <si>
    <t>PEACEKEEPING_FIGHTING_SPIRIT</t>
  </si>
  <si>
    <t>Divine Strategy</t>
  </si>
  <si>
    <t>Your Legion deals {value}% more Peacekeeping Hero Skill damage.</t>
  </si>
  <si>
    <t>PEACEKEEPING_PK_HS</t>
  </si>
  <si>
    <t>Steadfast Shield</t>
  </si>
  <si>
    <t>Your Legion has a 10% chance to gain a shield when Peacekeeping (Shield Factor 400) that absorbs damage for 5s.</t>
  </si>
  <si>
    <t>PEACEKEEPING_STEADFAST_SHIELD</t>
  </si>
  <si>
    <t>Duet</t>
  </si>
  <si>
    <t>Your Legion has a 10% chance to deal additional Hero Skill damage when Peacekeeping (Damage Factor 400).
This effect can be triggered once every 5s.</t>
  </si>
  <si>
    <t>duet</t>
  </si>
  <si>
    <t>PEACEKEEPING_DUET</t>
  </si>
  <si>
    <t>Morale</t>
  </si>
  <si>
    <t>Being hit with a normal attack while Peacekeeping has a 10% chance to grant your Legion {value} Rage.</t>
  </si>
  <si>
    <t>PEACEKEEPING_MORALE</t>
  </si>
  <si>
    <t>Feint</t>
  </si>
  <si>
    <t>When your Legion is Peacekeeping, they have a 10% chance to inflict Slow and DEF Break upon the target, reducing their March Speed by {value*5}% and their DEF by {value}% for 3s.</t>
  </si>
  <si>
    <t>feint</t>
  </si>
  <si>
    <t>PEACEKEEPING_FEINT</t>
  </si>
  <si>
    <t>Agility</t>
  </si>
  <si>
    <t>Your Legion takes {value}% less Peacekeeping Ranged damage.</t>
  </si>
  <si>
    <t>agility</t>
  </si>
  <si>
    <t>PEACEKEEPING_AGILITY</t>
  </si>
  <si>
    <t>Prepared</t>
  </si>
  <si>
    <t>Your Legion takes {value}% less Peacekeeping damage.</t>
  </si>
  <si>
    <t>PEACEKEEPING_PREPARED</t>
  </si>
  <si>
    <t>Predestination</t>
  </si>
  <si>
    <t>Gain a additional Level 1 Tactics Manual x{value} after Peacekeeping.</t>
  </si>
  <si>
    <t>PEACEKEEPING_PREDESTINATION</t>
  </si>
  <si>
    <t>War Trophy</t>
  </si>
  <si>
    <t>Your Legion gains extra item rewards after Peacekeeping.</t>
  </si>
  <si>
    <t>PEACEKEEPING_WAR_TROPHY</t>
  </si>
  <si>
    <t>Sunbather</t>
  </si>
  <si>
    <t>When your Legion is Peacekeeping, they are healed every time their Commander casts a Rage Skill (Healing Factor 300).</t>
  </si>
  <si>
    <t>vitality</t>
  </si>
  <si>
    <t>PEACEKEEPING_SUNBATHER</t>
  </si>
  <si>
    <t>Swift Analysis</t>
  </si>
  <si>
    <t>Your Legion takes {value}% less counterattack damage.</t>
  </si>
  <si>
    <t>reflect</t>
  </si>
  <si>
    <t>STATS_CA_RES</t>
  </si>
  <si>
    <t>Boiling Blood</t>
  </si>
  <si>
    <t>When your Commander casts a Rage Skill, your Legion's Deputy deals 8% more damage the next time they cast a Rage Skill.</t>
  </si>
  <si>
    <t>boiling_blood</t>
  </si>
  <si>
    <t>RS_BOILING_BLOOD</t>
  </si>
  <si>
    <t>Spirit of Rage</t>
  </si>
  <si>
    <t>Casting Rage Skills grants 20 additional Rage.</t>
  </si>
  <si>
    <t>RS_SPIRIT_OF_RAGE</t>
  </si>
  <si>
    <t>Detached</t>
  </si>
  <si>
    <t>Your Legion deals {value}% less normal attack damage, but {value*2}% more Hero Skill damage.</t>
  </si>
  <si>
    <t>STATS_DETACHED</t>
  </si>
  <si>
    <t>Concentration</t>
  </si>
  <si>
    <t>When casting Rage Skills, your Legion gains Shelter, increasing their DEF by {value}% for 2s.</t>
  </si>
  <si>
    <t>RS_CONCENTRATION</t>
  </si>
  <si>
    <t>Noble Contract</t>
  </si>
  <si>
    <t>Increases all healing received by your Legion by {value}%, and increasing shields received by {value}%.</t>
  </si>
  <si>
    <t>STATS_NOBLE_CONTRACT</t>
  </si>
  <si>
    <t>Focus</t>
  </si>
  <si>
    <t>When launching a normal attack, your Legion has a 10% chance to gain Hero Skill Focus, increasing their Hero Skill Crit Rate by {value}% for 5s.</t>
  </si>
  <si>
    <t>focus</t>
  </si>
  <si>
    <t>NA_FOCUS</t>
  </si>
  <si>
    <t>Encouraging Dance</t>
  </si>
  <si>
    <t>Being hit with a normal attack has a 10% chance to grant your Legion {value} Rage.</t>
  </si>
  <si>
    <t>HIT_ENCOURAGING_DANCE</t>
  </si>
  <si>
    <t>Steady Hands</t>
  </si>
  <si>
    <t>When gaining a buff effect, your Legion has a 20% chance to gain Synergy, increasing their Hero Skill damage dealt by {value} for 5s. This effect can be triggered once every 5s.</t>
  </si>
  <si>
    <t>BUFFRECEIVED_STEADY_HANDS</t>
  </si>
  <si>
    <t>Raging Tide</t>
  </si>
  <si>
    <t>Your Legion deals {value}% more Hero Skill Crit Damage</t>
  </si>
  <si>
    <t>raging_tide</t>
  </si>
  <si>
    <t>STATS_HS_CD</t>
  </si>
  <si>
    <t>Caged Animal</t>
  </si>
  <si>
    <t>Every time your Legion casts a Rage Skill, they deal a 0.5% more Hero Skill damage, up to a maximum of 8%. This effect lasts until battle ends.</t>
  </si>
  <si>
    <t>RS_CAGED_ANIMAL</t>
  </si>
  <si>
    <t>Thirst for Blood</t>
  </si>
  <si>
    <t>When casting a Rage Skill, your Legion deals additional Hero Skill damage to the target Legion (Damage Factor 60).</t>
  </si>
  <si>
    <t>RS_THIRST_FOR_BLOOD</t>
  </si>
  <si>
    <t>Magic HP</t>
  </si>
  <si>
    <t>Increases the HP of your Legion's Magic units by {value}%.</t>
  </si>
  <si>
    <t>Mighty Power</t>
  </si>
  <si>
    <t>Your Legion deals 2% more Hero Skill damage, and has a 10% chance to gain 20 extra Rage.</t>
  </si>
  <si>
    <t>STATS_MIGHTY_POWER</t>
  </si>
  <si>
    <t>Unquenchable Will</t>
  </si>
  <si>
    <t>In battle, your Legion ignores {value}% of the enemy's HP.</t>
  </si>
  <si>
    <t>ignore_hp</t>
  </si>
  <si>
    <t>STATS_HPPEN</t>
  </si>
  <si>
    <t>Predator</t>
  </si>
  <si>
    <t>When your Legion launches a normal attack, they have a 10% chance to gain Haste, increasing their March Speed by {value}% for 5s.</t>
  </si>
  <si>
    <t>NA_PREDATOR</t>
  </si>
  <si>
    <t>Preemptive Preparations</t>
  </si>
  <si>
    <t>When your Legion enters battle, their ATK is increasing by 10%. This bonus reduces by 0.5% every second.</t>
  </si>
  <si>
    <t>START_PREEMPTIVE_PREPARATIC</t>
  </si>
  <si>
    <t>Swift Maneuvers</t>
  </si>
  <si>
    <t>When leaving buildings or Resource Points, your Legion gains Haste and Vigor, increasing their March Speed by 20% and their HP by 5% for 5s.</t>
  </si>
  <si>
    <t>OTHER_SWIFT_MANEUVERS</t>
  </si>
  <si>
    <t>Plan B</t>
  </si>
  <si>
    <t>When casting Rage Skills, your Legion gains Haste, increasing their March Speed by {value}% for 3s.</t>
  </si>
  <si>
    <t>RS_PLAN_B</t>
  </si>
  <si>
    <t>Hasty March</t>
  </si>
  <si>
    <t>Increases your Legion's ATK by {value}% and their March Speed by {value*5}%.</t>
  </si>
  <si>
    <t>STATS_HASTY_MARCH</t>
  </si>
  <si>
    <t>Sneak Attack</t>
  </si>
  <si>
    <t>Gaining Haste also grants Keen to your Legion, increasing their ATK by {value}% for 5s.</t>
  </si>
  <si>
    <t>OTHER_SNEAK_ATTACK</t>
  </si>
  <si>
    <t>Tiderider</t>
  </si>
  <si>
    <t>Your Legion gains Haste when they take Skill damage, increasing their March Speed by {value}% for 5s.</t>
  </si>
  <si>
    <t>tiderider</t>
  </si>
  <si>
    <t>HSHIT_MS</t>
  </si>
  <si>
    <t>Cunning</t>
  </si>
  <si>
    <t>When your Legion is intercepted, their March Speed debuff is reduced by {value}%.</t>
  </si>
  <si>
    <t>OTHER_CUNNING</t>
  </si>
  <si>
    <t>Maneuverability</t>
  </si>
  <si>
    <t>Increases March Speed by {value}% when your Unit Count is less than 50%.</t>
  </si>
  <si>
    <t>LOWER_MS</t>
  </si>
  <si>
    <t>Passing Shadows</t>
  </si>
  <si>
    <t>When casting Artifact Skills, your Legion gains Haste and Shelter, increasing their March Speed by 50% and DEF by 15% for 10s. This effect can only be triggered once every 90s.</t>
  </si>
  <si>
    <t>ARTIFACT_PASSING_SHADOWS</t>
  </si>
  <si>
    <t>Victory Rush</t>
  </si>
  <si>
    <t>When your Legion launches a normal attack against a target with fewer than 50% units remaining, they deal additional Hero Skill damage (Damage Factor 250). This effect can be triggered once every 10s.</t>
  </si>
  <si>
    <t>victory_rush</t>
  </si>
  <si>
    <t>NA_VICTORY_RUSH</t>
  </si>
  <si>
    <t>Infantry DEF</t>
  </si>
  <si>
    <t>Increases the DEF of your Legion's Infantry units by {value}%.</t>
  </si>
  <si>
    <t>STATS_DEF(infantry)</t>
  </si>
  <si>
    <t>Infantry Speed</t>
  </si>
  <si>
    <t>Increases the March Speed of your Legion's Infantry units by {value}%.</t>
  </si>
  <si>
    <t>STATS_MS(infantry)</t>
  </si>
  <si>
    <t>Assassins in Waiting</t>
  </si>
  <si>
    <t>Increases March Speed by {value}% when your Unit Count is less than 30%.</t>
  </si>
  <si>
    <t>LOWER30_MS</t>
  </si>
  <si>
    <t>Heaven's Blessings</t>
  </si>
  <si>
    <t>Increases your Legion's healing received by {value}%.</t>
  </si>
  <si>
    <t>elixir</t>
  </si>
  <si>
    <t>STATS_HEAVEN'S_BLESSINGS</t>
  </si>
  <si>
    <t>Cool-Headed</t>
  </si>
  <si>
    <t>When your Legion casts Rage Skills, they gain Shelter, increasing their DEF by 4% for 3s. This effect can be triggered once every 10s.</t>
  </si>
  <si>
    <t>RS_COOL-HEADED</t>
  </si>
  <si>
    <t>Furious</t>
  </si>
  <si>
    <t>Your Legion gains Keen whenever they gain a debuff effect, increasing their ATK by 4% for 3s. This effect can be triggered once every 10s.</t>
  </si>
  <si>
    <t>DEBUFFRECEIVED_FURIOUS</t>
  </si>
  <si>
    <t>Close Quarters Combat</t>
  </si>
  <si>
    <t>Reduces your Legion's March Speed by {value*2.5}% while increasing their ATK by {value}%.</t>
  </si>
  <si>
    <t>close_quarters</t>
  </si>
  <si>
    <t>STATS_CLOSE_QUARTERS_COMBAT</t>
  </si>
  <si>
    <t>Cavalry Countertactics</t>
  </si>
  <si>
    <t>Infantry units in your Legion deal {value}% more damage to Cavalry units.</t>
  </si>
  <si>
    <t>STATS_CAVALRY_COUNTERTACTICS</t>
  </si>
  <si>
    <t>Rectification</t>
  </si>
  <si>
    <t>Your Legion has 10% chance to receive healing when hit with a normal attack (Healing Factor {value}). This effect can be triggered once every 5s.</t>
  </si>
  <si>
    <t>HIT_RECTIFICATION</t>
  </si>
  <si>
    <t>Generalist</t>
  </si>
  <si>
    <t>When in battle, your Legion has a 10% chance to gain Keen, Shelter, and Vigor, increasing their ATK, DEF, and HP by {value}% for 1s.</t>
  </si>
  <si>
    <t>generalist</t>
  </si>
  <si>
    <t>BATTLE_GENERALIST</t>
  </si>
  <si>
    <t>Solid Shield</t>
  </si>
  <si>
    <t>Increases your Legion's shield received by {value}%.</t>
  </si>
  <si>
    <t>STATS_SOLID_SHIELD</t>
  </si>
  <si>
    <t>Iron Will</t>
  </si>
  <si>
    <t>Extends duration for buff effects gained through Rage Skills by 1s when your Legion is composed entirely of Infantry units.</t>
  </si>
  <si>
    <t>STATS_IRON_WILL</t>
  </si>
  <si>
    <t>Ready for Battle</t>
  </si>
  <si>
    <t>Your Legion has a 8% chance to launch an extra counterattack when hit with a normal attack.</t>
  </si>
  <si>
    <t>HIT_READY_FOR_BATTLE</t>
  </si>
  <si>
    <t>Garrison Riposte</t>
  </si>
  <si>
    <t>While serving as Garrison Captain, the Garrisoned Army deals {value}% more counterattack damage.</t>
  </si>
  <si>
    <t>GARRISON_CA</t>
  </si>
  <si>
    <t>Garrison Onslaught</t>
  </si>
  <si>
    <t>While serving as Garrison Captain, the Garrisoned Army deals {value}% more normal attack damage.</t>
  </si>
  <si>
    <t>GARRISON_NA</t>
  </si>
  <si>
    <t>Repression</t>
  </si>
  <si>
    <t>Increases Watch Tower DEF by {value}% while serving as Garrison Captain.</t>
  </si>
  <si>
    <t>GARRISON_REPRESSION</t>
  </si>
  <si>
    <t>Thorn Barrier</t>
  </si>
  <si>
    <t>While serving as Garrison Captain, when the Garrisoned Army launches a counterattack, they have a 10% chance to inflict Gloom and DEF Break on the target Legion, reducing their ATK and DEF by 8% for 3s.</t>
  </si>
  <si>
    <t>GARRISON_THORN_BARRIER</t>
  </si>
  <si>
    <t>Fair Defense</t>
  </si>
  <si>
    <t>While serving as Garrison Captain, you can force the enemy Rallied Army into a Fair Fight. In a Fair Fight, all Unit Skills are disabled, and the attributes of Infantry, Cavalry, Marksman, and Magic units of the same level will be adjusted to the same values.</t>
  </si>
  <si>
    <t>GARRISON_FAIR_DEFENSE</t>
  </si>
  <si>
    <t>Garrison Determination</t>
  </si>
  <si>
    <t>While serving as Garrison Captain, the Garrisoned Army takes {value}% less normal attack damage.</t>
  </si>
  <si>
    <t>GARRISON_RES_NA</t>
  </si>
  <si>
    <t>Garrison Synergy</t>
  </si>
  <si>
    <t>While serving as Garrison Captain, the Garrisoned Army deals {value}% more Hero Skill damage.</t>
  </si>
  <si>
    <t>GARRISON_HS</t>
  </si>
  <si>
    <t>Tough Garrison</t>
  </si>
  <si>
    <t>While serving as Garrison Captain, the Garrisoned Army takes {value}% less Hero Skill damage.</t>
  </si>
  <si>
    <t>GARRISON_HS_RES</t>
  </si>
  <si>
    <t>Arrogance</t>
  </si>
  <si>
    <t>While serviing as Garrison Captain, launching normal attack has a 10% chance to grant your Garrisoned Army {value} additional Rage.</t>
  </si>
  <si>
    <t>GARRISON_ARROGANCE</t>
  </si>
  <si>
    <t>Solidarity</t>
  </si>
  <si>
    <t>Increases Watch Tower ATK by {value}% while serving as Garrison Captain.</t>
  </si>
  <si>
    <t>GARRISON_SOLIDARITY</t>
  </si>
  <si>
    <t>Garrison Resistance</t>
  </si>
  <si>
    <t>While serving as Garrison Captain, the Garrisoned Army takes {value}% less damage.</t>
  </si>
  <si>
    <t>GARRISON_RES</t>
  </si>
  <si>
    <t>Grumpy</t>
  </si>
  <si>
    <t>While serving as Garrison Captain, being hit with a normal attack has a 10% chance to grant your Garrisoned Army {value} additional Rage.</t>
  </si>
  <si>
    <t>GARRISON_GRUMPY</t>
  </si>
  <si>
    <t>Garrison Rampage</t>
  </si>
  <si>
    <t>While serving as Garrison Captain, the Garrisoned Army deals {value}% more damage.</t>
  </si>
  <si>
    <t>rampage</t>
  </si>
  <si>
    <t>GARRISON_DMG</t>
  </si>
  <si>
    <t>Formidable</t>
  </si>
  <si>
    <t>While serving as Garrison Captain, casting Rage Skills inflicts Inhibition on the target Legion, reducing their Hero Skill damage dealt by 10% for 5s.
This effect can only be triggered once every 5s.</t>
  </si>
  <si>
    <t>GARRISON_FORMIDABLE</t>
  </si>
  <si>
    <t>Sacred Realm</t>
  </si>
  <si>
    <t>While serving as Garrison Captain, when your Garrisoned Army is hit with a normal attack they have a 10% chance to heal lightly wounded units (Healing Factor 400). This effect can be triggered once every 5s.</t>
  </si>
  <si>
    <t>GARRISON_SACRED_REALM</t>
  </si>
  <si>
    <t>Impregnable Defense</t>
  </si>
  <si>
    <t>Your Legion gains Shelter when entering battle, increasing their DEF by 5% for 10s.</t>
  </si>
  <si>
    <t>START_IMPREGNABLE_DEFENSE</t>
  </si>
  <si>
    <t>Unyielding Spirit</t>
  </si>
  <si>
    <t>When your Legion is hit with a normal attack, they have a 10% chance of gaining Tough, reducing Hero Skill damage taken by 8% for 5s.</t>
  </si>
  <si>
    <t>NA_UNYIELDING_SPIRIT</t>
  </si>
  <si>
    <t>Mediation</t>
  </si>
  <si>
    <t>Your Legion deals {value}% less Hero Skill damage and takes {value*2}% less Hero Skill damage.</t>
  </si>
  <si>
    <t>STATS_MEDIATION</t>
  </si>
  <si>
    <t>Steel Sinews</t>
  </si>
  <si>
    <t>When your Legion is hit with a normal attack, they have a 10% chance to gain Vigor, increasing their HP by {value}% for 3s.</t>
  </si>
  <si>
    <t>HIT_STEEL_SINEWS</t>
  </si>
  <si>
    <t>Cloaked Wrath</t>
  </si>
  <si>
    <t>Your Legion gains {value} more Rage when their Unit Count is over 50% and they launch a normal attack.</t>
  </si>
  <si>
    <t>OVER_CLOAKED_WRATH</t>
  </si>
  <si>
    <t>NA &amp; OVER</t>
  </si>
  <si>
    <t>Ingenious</t>
  </si>
  <si>
    <t>When your Legion launches a counterattack, they have a 10% chance to gain Keen, increasing their ATK by {value}% for 3s.</t>
  </si>
  <si>
    <t>CA_INGENIOUS</t>
  </si>
  <si>
    <t>Hearts of Iron</t>
  </si>
  <si>
    <t>Your Legion takes 8% less normal attack damage when their Unit Count is below 50%.</t>
  </si>
  <si>
    <t>LOWER_HEARTS_OF_IRON</t>
  </si>
  <si>
    <t>Vitality</t>
  </si>
  <si>
    <t>Your Legion receives healing (Healing Factor 80) when casting Rage Skills.</t>
  </si>
  <si>
    <t>RS_VITALITY</t>
  </si>
  <si>
    <t>Shield of Stability</t>
  </si>
  <si>
    <t>Your Legion gains a 1% more DEF and takes 1% less damage, but their March Speed is reduced by 2%.</t>
  </si>
  <si>
    <t>STATS_SHIELD_OF_STABILITY</t>
  </si>
  <si>
    <t>Cavalry Speed</t>
  </si>
  <si>
    <t>Increases the March Speed of your Legion's Cavalry units by {value}%.</t>
  </si>
  <si>
    <t>STATS_MS(cavalry)</t>
  </si>
  <si>
    <t>Cavalry ATK</t>
  </si>
  <si>
    <t>Increases the ATK of your Legion's Cavalry units by {value}%.</t>
  </si>
  <si>
    <t>STATS_ATK(cavalry)</t>
  </si>
  <si>
    <t>Perfect Ferocity</t>
  </si>
  <si>
    <t>Your Legion gains Synergy when they enter battle, increasing their Hero Skill damage dealt by 15% for 10s.</t>
  </si>
  <si>
    <t>START_PERFECT_FEROCITY</t>
  </si>
  <si>
    <t>Steady Pace</t>
  </si>
  <si>
    <t>When leading a Cavalry Legion, they gain a shield upon leaving any building outside your City (Shield Factor 600). This effect can be triggered once every 60s.</t>
  </si>
  <si>
    <t>OTHER_STEADY_PACE</t>
  </si>
  <si>
    <t>Marksman Countertactics</t>
  </si>
  <si>
    <t>Your Legion's Cavalry units deal {value}% more damage to Marksman units.</t>
  </si>
  <si>
    <t>marksman_countertactics</t>
  </si>
  <si>
    <t>STATS_MARKSMAN_COUNTERTACTICS</t>
  </si>
  <si>
    <t>War Zealot</t>
  </si>
  <si>
    <t>Reducing DEF of your Legion by {value}%, and increases their ATK by {value*2}%.</t>
  </si>
  <si>
    <t>STATS_WAR_ZEALOT</t>
  </si>
  <si>
    <t>Guerrilla</t>
  </si>
  <si>
    <t>Your Legion takes {value}% less damage while marching.</t>
  </si>
  <si>
    <t>OTHER_GUERRILLA</t>
  </si>
  <si>
    <t>Trample</t>
  </si>
  <si>
    <t>Your Legion gains Keen after defeating enemy Legions, increasing their ATK by {value}% for 10s.</t>
  </si>
  <si>
    <t>DEFEATING_TRAMPLE</t>
  </si>
  <si>
    <t>Quick Escape</t>
  </si>
  <si>
    <t>Your Legion gains Haste after ending battle, increasing their March Speed by {value}% for 10s.</t>
  </si>
  <si>
    <t>ENDING_QUICK_ESCAPE</t>
  </si>
  <si>
    <t>Triumphant Return</t>
  </si>
  <si>
    <t>Your Legion receives healing (Healing Factor {value}) after ending battle.</t>
  </si>
  <si>
    <t>ENDING_TRIUMPHANT_RETURN</t>
  </si>
  <si>
    <t>Entangle</t>
  </si>
  <si>
    <t>The March Speed of Routed enemy Legions is reduced by {value}% when they are defeated.</t>
  </si>
  <si>
    <t>OTHER_ENTANGLE</t>
  </si>
  <si>
    <t>Pitched Battle</t>
  </si>
  <si>
    <t>Inescapable</t>
  </si>
  <si>
    <t>When your Legion consists entirely of Cavalry units, they Slow enemy Legions when intercepting them and inflict DEF Break, reducing their March Speed by 30% and their DEF by 5% for 3s.
This effect can be triggered once every 30s.</t>
  </si>
  <si>
    <t>OTHER_INESCAPABLE(cavalry)</t>
  </si>
  <si>
    <t>Blood Mark</t>
  </si>
  <si>
    <t>Your Legion deals additional damage when casting Rage Skills.
Damage Type: Physical
Damage Factor: 150
This effect can be triggered once every 10s.</t>
  </si>
  <si>
    <t>RS_BLOOD_MARK</t>
  </si>
  <si>
    <t>Rivalry</t>
  </si>
  <si>
    <t>Your Legion deals {value}% more normal attack damage in the field.</t>
  </si>
  <si>
    <t>FIELD_NA</t>
  </si>
  <si>
    <t>Fury Flame</t>
  </si>
  <si>
    <t>Your Legion deals {value}% more Hero Skill damage in the field.</t>
  </si>
  <si>
    <t>FIELD_HS</t>
  </si>
  <si>
    <t>Luck of the Draw</t>
  </si>
  <si>
    <t>When your Legion launches a counterattack in the field, they have a 10% chance to reduce all damage taken by 1% (up to a maximum of 3%) for 20s.</t>
  </si>
  <si>
    <t>CA_LUCK_OF_THE_DRAW</t>
  </si>
  <si>
    <t>FIELD</t>
  </si>
  <si>
    <t>Army of Valor</t>
  </si>
  <si>
    <t>Increases damage dealt by your Legion while in battle by 1% every 10s, to a maximum of 3%.</t>
  </si>
  <si>
    <t>BATTLE_ARMY_OF_VALOR</t>
  </si>
  <si>
    <t>Fearless</t>
  </si>
  <si>
    <t>Your Legion deals {value}% more counterattack damage in the field.</t>
  </si>
  <si>
    <t>FIELD_CA</t>
  </si>
  <si>
    <t>Slow and Steady</t>
  </si>
  <si>
    <t>When your Legion is intercepting an enemy, they gain Shelter, increasing their DEF by {value}% for 10s.
This effect can be triggered once every 30s.</t>
  </si>
  <si>
    <t>OTHER_SLOW_AND_STEADY</t>
  </si>
  <si>
    <t>Avoidance</t>
  </si>
  <si>
    <t>Your Legion gains Haste when taking Skill damage, increasing their March Speed by {value}% for 5s.
This effect can be triggered once every 10s.</t>
  </si>
  <si>
    <t>HSHIT_AVOIDANCE</t>
  </si>
  <si>
    <t>Strength to Strength</t>
  </si>
  <si>
    <t>Your Legion deal {value}% more damage.</t>
  </si>
  <si>
    <t>STATS_DMG</t>
  </si>
  <si>
    <t>Rest and Repose</t>
  </si>
  <si>
    <t>Grants healing (Healing Factor {value}) when your Legion defeats enemy Legions in the field.
This effect can be triggered once every 10s.</t>
  </si>
  <si>
    <t>DEFEATING_REST_AND_REPOSE</t>
  </si>
  <si>
    <t>Charge Ahead</t>
  </si>
  <si>
    <t>Your Legion takes {value}% less damage while marching</t>
  </si>
  <si>
    <t>OTHER_CHARGE_AHEAD</t>
  </si>
  <si>
    <t>Stubborn Fighter</t>
  </si>
  <si>
    <t>When your Legion is in the field and their Unit Count is less than 50%, they deal {value}% more damage.</t>
  </si>
  <si>
    <t>LOWER_DMG</t>
  </si>
  <si>
    <t>Breach Blade</t>
  </si>
  <si>
    <t>When your Legion launches a normal attack in the field, they inflict DEF Break on the target Legion, reducing their DEF by 10% for 5s.
This effect can be triggered only every 30s.</t>
  </si>
  <si>
    <t>NA_BREACH_BLADE</t>
  </si>
  <si>
    <t>Blessing of Fury</t>
  </si>
  <si>
    <t>When casting Rage Skills in the field, your Legion gains Vigor, increasing their HP by 10% for 5s.
This effect can only be triggered once every 30s.</t>
  </si>
  <si>
    <t>RS_BLESSING_OF_FURY</t>
  </si>
  <si>
    <t>Soul Siphon</t>
  </si>
  <si>
    <t>Counterattacks have a 10% chance to steal 40 Rage from the enemy Legion.</t>
  </si>
  <si>
    <t>CA_SOUL_SIPHON</t>
  </si>
  <si>
    <t>Cyclone Seal</t>
  </si>
  <si>
    <t>When casting Rage Skills, inflicts Slow on the target Legion, reducing their March Speed by 15% for 3s.</t>
  </si>
  <si>
    <t>cyclone_seal</t>
  </si>
  <si>
    <t>RS_CYCLONE_SEAL</t>
  </si>
  <si>
    <t>Blind Side</t>
  </si>
  <si>
    <t>When your Legion enters battle, they Slow the target Legion, reducing their March Speed by {value}% for 10s.</t>
  </si>
  <si>
    <t>START_BLIND_SIDE</t>
  </si>
  <si>
    <t>Ambush</t>
  </si>
  <si>
    <t>When your Legion launches a normal attack, they have a 10% chance to inflict DEF Break on the target Legion, reducing their DEF by {value}% for 5s.</t>
  </si>
  <si>
    <t>NA_AMBUSH</t>
  </si>
  <si>
    <t>Tremble</t>
  </si>
  <si>
    <t>When casting Rage Skills, your Legion has 25% chance to inflict Gloom on the target Legion, reducing their ATK by {value}% for 5s.</t>
  </si>
  <si>
    <t>RS_TREMBLE</t>
  </si>
  <si>
    <t>Temper</t>
  </si>
  <si>
    <t>When your Legion takes Skill damage, they gain {value} additional Rage.
This effect can be triggered once every 10s.</t>
  </si>
  <si>
    <t>HSHIT_TREMPER</t>
  </si>
  <si>
    <t>Sage</t>
  </si>
  <si>
    <t>Your Legion has 50% chance to gain Synergy every time they inflict a debuff effect on an enemy Legion, increasing their Hero Skill damage dealt by {value}% for 10s.</t>
  </si>
  <si>
    <t>DEBUFFAPPLIED_SAGE</t>
  </si>
  <si>
    <t>Lucky Stars</t>
  </si>
  <si>
    <t>Grants healing (Healing Factor {value}) whenever your Legion inflicts a debuff effect on an enemy Legion.
This effect can be triggered once every 10s.</t>
  </si>
  <si>
    <t>DEBUFFAPPLIED_LUCKY_STARS</t>
  </si>
  <si>
    <t>Eye for Eye</t>
  </si>
  <si>
    <t>When your Legion gains a debuff effect, they have a 50% chance to Slow the enemy, reducing their March Speed by {value}% for 5s.
This effect can be triggered once every 5s.</t>
  </si>
  <si>
    <t>DEBUFFRECEIVED_EYE_FOR_EYE</t>
  </si>
  <si>
    <t>Autumn Rains</t>
  </si>
  <si>
    <t>When casting Rage Skills, a buff effect is dispelled from the target Legion.
This effect can only be triggered once every 20s.</t>
  </si>
  <si>
    <t>dispelled</t>
  </si>
  <si>
    <t>RS_AUTUMN_RAINS</t>
  </si>
  <si>
    <t>Reticent</t>
  </si>
  <si>
    <t>When your Legion casts a Rage Skill, they have a 25% chance to Silence the target, preventing them from casting Rage Skills for 2s.</t>
  </si>
  <si>
    <t>reticent</t>
  </si>
  <si>
    <t>RS_RETICENT</t>
  </si>
  <si>
    <t>Balanced Heart</t>
  </si>
  <si>
    <t>All units in your Legion gain 1% ATK and 5% March Speed.</t>
  </si>
  <si>
    <t>STATS_BALANCED_HEART</t>
  </si>
  <si>
    <t>Backstabber</t>
  </si>
  <si>
    <t>Whenever your Legion inflicts a debuff effect on an enemy Legion, they also deal 2% more damage for 5s.
This effect can be triggered once every 5s.</t>
  </si>
  <si>
    <t>DEBUFFAPPLIED_BACKSTABBER</t>
  </si>
  <si>
    <t>Guardian Angel</t>
  </si>
  <si>
    <t>When your Legion enters battle, they gain Resistance, reducing the damage they take by 4% for 10s.</t>
  </si>
  <si>
    <t>START_GARDIAN_ANGEL</t>
  </si>
  <si>
    <t>Spirited Response</t>
  </si>
  <si>
    <t>When your Legion is hit with a normal attack, they gain 4 additional Rage.
This effect can be triggered once every 1s.</t>
  </si>
  <si>
    <t>HIT_SPIRITED_RESPONSE</t>
  </si>
  <si>
    <t>Unrelenting Fury</t>
  </si>
  <si>
    <t>When your Legion gains a buff effect, they gain {value} Rage.</t>
  </si>
  <si>
    <t>BUFF_UNRELENTING_FURY</t>
  </si>
  <si>
    <t>Insight</t>
  </si>
  <si>
    <t>Your Legion's Marksman unit take {value}% less normal attack damage.</t>
  </si>
  <si>
    <t>STATS_INSIGHT</t>
  </si>
  <si>
    <t>Emergency Triage</t>
  </si>
  <si>
    <t>Reduces severerly wounded units in your Legion by {value}%.</t>
  </si>
  <si>
    <t>STATS_WOUNDED</t>
  </si>
  <si>
    <t>Watchful Eyes</t>
  </si>
  <si>
    <t>Your Legion's Cavalry units take {value}% less damage.</t>
  </si>
  <si>
    <t>STATS_WATCHFUL_EYES</t>
  </si>
  <si>
    <t>Cornered Rat</t>
  </si>
  <si>
    <t>When your Legion's Unit Count is less than 50%, they deal 2% more damage.</t>
  </si>
  <si>
    <t>cornered_rat</t>
  </si>
  <si>
    <t>LOWER_CORNERED_RAT</t>
  </si>
  <si>
    <t>Thunderfury</t>
  </si>
  <si>
    <t>When casting Rage Skills, your Legion gains Keen and Shelter, increasing their ATK by 4% and their DEF by 3% for 5s.
This effect can be triggered once every 30s.</t>
  </si>
  <si>
    <t>RS_THUNDERFURY</t>
  </si>
  <si>
    <t>Prayer of Resuscitation</t>
  </si>
  <si>
    <t>Increases your Legion's healing granted by {value}%.</t>
  </si>
  <si>
    <t>STATS_HEALINGDONE</t>
  </si>
  <si>
    <t>Auspicious</t>
  </si>
  <si>
    <t>Removes a debuff effect for your Legion when they cast a Rage Skill.
This effect can be triggered once every 20s.</t>
  </si>
  <si>
    <t>RS_AUSPICIOUS</t>
  </si>
  <si>
    <t>Forcefield</t>
  </si>
  <si>
    <t>Every time your Legion gains buff effect, their HP increases by 0.5%, up to a maximum of 3%.</t>
  </si>
  <si>
    <t>BUFF_FORCEFIELD</t>
  </si>
  <si>
    <t>Shrink</t>
  </si>
  <si>
    <t>Reduces your Legion's ATK by {value}%, and increases their DEF by {value*2}%.</t>
  </si>
  <si>
    <t>STATS_SHRINK</t>
  </si>
  <si>
    <t>Ex Nihilo</t>
  </si>
  <si>
    <t>When your Legion gains a debuff effect, they receive {value}% more healing for 10s.</t>
  </si>
  <si>
    <t>DEBUFFRECEIVED_EXNIHILO</t>
  </si>
  <si>
    <t>Mastermind</t>
  </si>
  <si>
    <t>When casting Rage Skills, your Legion has a 25% chance to gain Resistance reducing the damage they take by {value}% for 5s.
This effect can be triggered once every 5s.</t>
  </si>
  <si>
    <t>RS_MASTERMIND</t>
  </si>
  <si>
    <t>Rebirth</t>
  </si>
  <si>
    <t>Your Legion has a 10% chance to receive healing when hit with a normal attack (Healing Factor {value}).
This effect can be triggered once every 5s.</t>
  </si>
  <si>
    <t>HIT_REBIRTH</t>
  </si>
  <si>
    <t>Sublimation</t>
  </si>
  <si>
    <t>When launching a normal attack, your Legion has a 10% chance to gain Synergy, increasing their Hero Skill damage by {value}% for 5s.</t>
  </si>
  <si>
    <t>NA_SUBLIMATION</t>
  </si>
  <si>
    <t>Pick-Me-Up</t>
  </si>
  <si>
    <t>Gain {value} additional Rage when your Legion receives healing or a shield.</t>
  </si>
  <si>
    <t>HEALEDORSHIELDED_PICKMEUP</t>
  </si>
  <si>
    <t>Punisher</t>
  </si>
  <si>
    <t>When your Legion receives healing, they deal Hero Skill damage to the target Legion (Damage Factor 150).
This effect can be triggered once every 10s.</t>
  </si>
  <si>
    <t>HEALED_PUNISHER</t>
  </si>
  <si>
    <t>Flock of Blessings</t>
  </si>
  <si>
    <t>When your Legion gains a buff effect, they also gain healing (Healing Factor 150).
This effect can be triggered once every 10s.</t>
  </si>
  <si>
    <t>BUFF_FLOCK_OF_BLESSINGS</t>
  </si>
  <si>
    <t>Transforming Spirit</t>
  </si>
  <si>
    <t>Increases the HP of your Legion's units by 1%, and mitigates 1% of enemy ATK.</t>
  </si>
  <si>
    <t>STATS_TRANSFORMING_SPIRIT</t>
  </si>
  <si>
    <t>Fortification</t>
  </si>
  <si>
    <t>Increases Engineering by {value}% when building buildings in the field.</t>
  </si>
  <si>
    <t>fortification</t>
  </si>
  <si>
    <t>BUILDING_BUILDING</t>
  </si>
  <si>
    <t>Havoc</t>
  </si>
  <si>
    <t>Increases Engineering by {value}% when destroying buildings in the field.</t>
  </si>
  <si>
    <t>havoc</t>
  </si>
  <si>
    <r>
      <rPr>
        <rFont val="Arial"/>
        <b/>
        <color rgb="FF1D1F20"/>
      </rPr>
      <t>BUILDING</t>
    </r>
    <r>
      <rPr>
        <rFont val="Arial"/>
        <color rgb="FF1D1F20"/>
      </rPr>
      <t>_DESTROYING</t>
    </r>
  </si>
  <si>
    <t>Engineering Models</t>
  </si>
  <si>
    <t>Your Legion's Engineering is increased by 50% for 1800s after building or destroying buildings in the field.</t>
  </si>
  <si>
    <t>BUILDING_ENGINEERING_MODELS</t>
  </si>
  <si>
    <t>Backup Staffing</t>
  </si>
  <si>
    <t>Your Legion only has 80% of their Engineering, but it will not be reduced if their Unit Count decreases.</t>
  </si>
  <si>
    <t>backup_staffing</t>
  </si>
  <si>
    <t>BUILDING_BACKUP_STAFFING</t>
  </si>
  <si>
    <t>Hard Hats</t>
  </si>
  <si>
    <t>Your Legion gains {value}% enemy ATK mitigation when building or destroying buildings in the field.</t>
  </si>
  <si>
    <t>BUILDING_HARD_HATS</t>
  </si>
  <si>
    <t>Homeward Bound</t>
  </si>
  <si>
    <t>Your Legion gains Haste after building or destroying buildings in the field, increasing their March Speed by {value}% for 30s.</t>
  </si>
  <si>
    <t>BUILDING_HOMEWARD_BOUND</t>
  </si>
  <si>
    <t>Stockpiling</t>
  </si>
  <si>
    <t>Your Legion deals {value}% more counterattack damage while building or destroying buildings in the field.</t>
  </si>
  <si>
    <t>BUILDING_STOCKPILING</t>
  </si>
  <si>
    <t>Civil Defense</t>
  </si>
  <si>
    <t>Reduces severely wounded units in your Legion by {value}% if they enter battle while building or destroying buildings in the field.</t>
  </si>
  <si>
    <t>BUILDING_CIVIL_DEFENSE</t>
  </si>
  <si>
    <t>Guardianship</t>
  </si>
  <si>
    <t>Your Legion takes {value}% less damage while building or destroying buildings in the field.</t>
  </si>
  <si>
    <t>BUILDING_GUARDIANSHIP</t>
  </si>
  <si>
    <t>Eminent Domain</t>
  </si>
  <si>
    <t>Increases Engineering by {value}% when building or destroying buildings in the field.</t>
  </si>
  <si>
    <t>BUILDING_ENGINEERING</t>
  </si>
  <si>
    <t>Bag of Tricks</t>
  </si>
  <si>
    <t>When your Legion launches a counterattack, they have a 40% chance of gaining Haste, increasing their March Speed by {value}% for 10s.</t>
  </si>
  <si>
    <t>BUILDING_BAG_OF_TRICKS</t>
  </si>
  <si>
    <t>Workplace Security</t>
  </si>
  <si>
    <t>If your Legion is hit with a normal attack when building or destroying buildings in the field, they have a 30% chance to deal Hero Skill damage (Damage Factor 100). This effect can be triggered once every 5s.</t>
  </si>
  <si>
    <t>BUILDING_WORKPLACE_SECURITY</t>
  </si>
  <si>
    <t>Right to Work</t>
  </si>
  <si>
    <t>Inflicts Gloom and Slow on the target Legion if your Legion enters battle when building or destroying buildings in the field. Reduces target ATK by 10% and March Speed by 20% for 10s.</t>
  </si>
  <si>
    <t>BUILDING_RIGHT_TO_WORK</t>
  </si>
  <si>
    <t>Stalwart Shield</t>
  </si>
  <si>
    <t>Infantry units in your Legion take {value}% less counterattack damage.</t>
  </si>
  <si>
    <t>STATS_CA_RES_ON_INF</t>
  </si>
  <si>
    <t>Occult Barrier</t>
  </si>
  <si>
    <t>Your Legion's magic units take {value}% less Hero Skill damage.</t>
  </si>
  <si>
    <t>STATS_HS_RES_ON_MAGIC</t>
  </si>
  <si>
    <t>Hasty Retreat</t>
  </si>
  <si>
    <t>When your Legion is hit with a normal attack, they have a 10% chance to gain Haste, increasing their March Speed by {value}% for 5s.
This effect can be triggered once every 5s.</t>
  </si>
  <si>
    <t>HIT_HASTY_RETREAT</t>
  </si>
  <si>
    <t>Earth's Grace</t>
  </si>
  <si>
    <t>When a Legion finishes gathering resources, any Gathering Heroes in the Legion receive EXP equal to {value}% of the number of resources gathered, up to a maximum of {value*10000} EXP per day. If both the Commander and Deputy are Gathering Heroes, the EXP is split equally between them.</t>
  </si>
  <si>
    <t>gathering</t>
  </si>
  <si>
    <t>GATHERINGSTATS_GATHERING_XP</t>
  </si>
  <si>
    <t>Veteran Goldsmith</t>
  </si>
  <si>
    <t>Increases the Gold Gather Speed of your Legion by {value}%.</t>
  </si>
  <si>
    <t>gold</t>
  </si>
  <si>
    <t>GATHERINGSTATS_GATHERGOLD</t>
  </si>
  <si>
    <t>Transport Speed</t>
  </si>
  <si>
    <t>Increases the March Speed of your Legion's Transport units by {value}%.</t>
  </si>
  <si>
    <t>GATHERINGSTATS_MS_TRANSPORT</t>
  </si>
  <si>
    <t>Veteran Lumberjack</t>
  </si>
  <si>
    <t>Increases the Wood Gather Speed of your Legion by {value}%.</t>
  </si>
  <si>
    <t>GATHERINGSTATS_GATHERWOOD</t>
  </si>
  <si>
    <t>Veteran Miner</t>
  </si>
  <si>
    <t>Increases the Ore Gather Speed of your Legion by {value}%.</t>
  </si>
  <si>
    <t>GATHERINGSTATS_GATHERORE</t>
  </si>
  <si>
    <t>Overall Load Capacity</t>
  </si>
  <si>
    <t>Increases the Load Capacity of your Legion by {value}%.</t>
  </si>
  <si>
    <t>GATHERINGSTATS_LOAD</t>
  </si>
  <si>
    <t>Mana Master</t>
  </si>
  <si>
    <t>Increases the Mana Gather Speed of your Legion by {value}%.</t>
  </si>
  <si>
    <t>GATHERINGSTATS_GATHERMANA</t>
  </si>
  <si>
    <t>Joyful Burden</t>
  </si>
  <si>
    <t>Increases your Legion's Load Capacity by 15% and reduces all damage they take by 10% while gathering.</t>
  </si>
  <si>
    <t>GATHERINGSTATS_JOYFUL_BURDEN</t>
  </si>
  <si>
    <t>Quick Harvest</t>
  </si>
  <si>
    <t>Increases your Legion's Gather Speed by 20% and reduces their Load Capacity by 10%.</t>
  </si>
  <si>
    <t>GATHERINGSTATS_QUICK_HARVEST</t>
  </si>
  <si>
    <t>Reduces severely wounded units in your Legion by {value}%.</t>
  </si>
  <si>
    <t>Leeway</t>
  </si>
  <si>
    <t>If your Legion is attacked while gathering, they have a {value}% chance to be automatically recalled to the City.</t>
  </si>
  <si>
    <t>GATHERINGSTATS_LEEWAY</t>
  </si>
  <si>
    <t>Joyful Labor</t>
  </si>
  <si>
    <t>When your Transport Legion is hit with a normal attack while gathering, they have a {value}% chance to become Invulnerable and take no damage for the next 10s; while Invulnerable they cannot launch normal attacks or counterattacks.
This effect can be triggered once every 60s.</t>
  </si>
  <si>
    <t>GATHERINGSTATS_JOYFUL_LABOR</t>
  </si>
  <si>
    <t>Undeterred</t>
  </si>
  <si>
    <t>When your Legion is composed entirely of Transport units, they cannot be intercepted.</t>
  </si>
  <si>
    <t>GATHERINGSTATS_UNDETERRED</t>
  </si>
  <si>
    <t>Windfall</t>
  </si>
  <si>
    <t>Recieve additional reward Items when your Legion depletes a Resource Point.</t>
  </si>
  <si>
    <t>GATHERINGSTATS_WINDFALL</t>
  </si>
  <si>
    <t>Lay of the Land</t>
  </si>
  <si>
    <t>When your Legion has been gathering for 1h and completes the task, resource production in your City increases by 50% for 1h.</t>
  </si>
  <si>
    <t>GATHERINGSTATS_LAY_OF_LAND</t>
  </si>
  <si>
    <t>Redoubtable</t>
  </si>
  <si>
    <t>Your Rallied Army takes {value}% less bonus damage from being Surrounded.</t>
  </si>
  <si>
    <t>RALLY_REDOUBTABLE</t>
  </si>
  <si>
    <t>Cut Through</t>
  </si>
  <si>
    <t>When your Rallied Army is Surrounded, ATK increases by {value}% for every Surrounding Legion, up to a maximum of {value*4}%.</t>
  </si>
  <si>
    <t>RALLY_CUT_THROUGH</t>
  </si>
  <si>
    <t>Punitive Expedition</t>
  </si>
  <si>
    <t>Your Rallied Army deals {value}% more normal attack damage.</t>
  </si>
  <si>
    <t>RALLY_NA</t>
  </si>
  <si>
    <t>Pincer Attack</t>
  </si>
  <si>
    <t>Legion penetrates {value}% of the enemy DEF when attacking Rallied Armies or Garrisoned Armies.</t>
  </si>
  <si>
    <t>RALLY_DEFPEN</t>
  </si>
  <si>
    <t>Show of Strength</t>
  </si>
  <si>
    <t>Your Rallied Army gains {value}% Rage Accumulation Speed.</t>
  </si>
  <si>
    <t>RALLY_RAGE_ACC</t>
  </si>
  <si>
    <t>Martial Spirit</t>
  </si>
  <si>
    <t>Your Rallied Army deals {value}% more counterattack damage.</t>
  </si>
  <si>
    <t>RALLY_CA</t>
  </si>
  <si>
    <t>Double Time</t>
  </si>
  <si>
    <t>Your Rallied Army gains {value}% March Speed.</t>
  </si>
  <si>
    <t>RALLY_MS</t>
  </si>
  <si>
    <t>Steel Whirlwind</t>
  </si>
  <si>
    <t>Your Rallied Army deals {value}% more Hero Skill damage when attacking Rallied Armies and Garrisoned Armies.</t>
  </si>
  <si>
    <t>RALLY_HS</t>
  </si>
  <si>
    <t>Armored Assault</t>
  </si>
  <si>
    <t>Your Legion takes {value}% less damage when attacking Rallied Armies and Garrisoned Armies.</t>
  </si>
  <si>
    <t>RALLY_RES</t>
  </si>
  <si>
    <t>Title</t>
  </si>
  <si>
    <t>Ordo</t>
  </si>
  <si>
    <t>One-Eyed Veteran</t>
  </si>
  <si>
    <t>Chakcha</t>
  </si>
  <si>
    <t>Gourmet Hunter</t>
  </si>
  <si>
    <t>Gather</t>
  </si>
  <si>
    <t>Kella</t>
  </si>
  <si>
    <t>Savvy Trader</t>
  </si>
  <si>
    <t>Pan</t>
  </si>
  <si>
    <t>Dream Herald</t>
  </si>
  <si>
    <t>Atheus</t>
  </si>
  <si>
    <t>Auspex</t>
  </si>
  <si>
    <t>Waldyr</t>
  </si>
  <si>
    <t>Ice Mage</t>
  </si>
  <si>
    <t>Gwanwyn</t>
  </si>
  <si>
    <t>Arrow of the Wind</t>
  </si>
  <si>
    <t>Kregg</t>
  </si>
  <si>
    <t>Mad Bomber</t>
  </si>
  <si>
    <t>Alistair</t>
  </si>
  <si>
    <t>Royal Court Guard</t>
  </si>
  <si>
    <t>Alwyn</t>
  </si>
  <si>
    <t>Master of Poisons</t>
  </si>
  <si>
    <t>Bakhar</t>
  </si>
  <si>
    <t>Unyielding Blade</t>
  </si>
  <si>
    <t>Eliana</t>
  </si>
  <si>
    <t>Daughter of Dawn</t>
  </si>
  <si>
    <t>Liliya</t>
  </si>
  <si>
    <t>Sorceress of Flames</t>
  </si>
  <si>
    <t>Velyn</t>
  </si>
  <si>
    <t>Frost Scion</t>
  </si>
  <si>
    <t>Bakshi</t>
  </si>
  <si>
    <t>Wolf Hermit</t>
  </si>
  <si>
    <t>Garwood</t>
  </si>
  <si>
    <t>Forest Guardian</t>
  </si>
  <si>
    <t>Theia</t>
  </si>
  <si>
    <t>Unchanging Law</t>
  </si>
  <si>
    <t>Kinnara</t>
  </si>
  <si>
    <t>Flying Dagger</t>
  </si>
  <si>
    <t>Emrys</t>
  </si>
  <si>
    <t>Shadow Warlord</t>
  </si>
  <si>
    <t>Indis</t>
  </si>
  <si>
    <t>Sage of Order</t>
  </si>
  <si>
    <t>Nico</t>
  </si>
  <si>
    <t>Eyes of Daybreak</t>
  </si>
  <si>
    <t>Nika</t>
  </si>
  <si>
    <t>Snow Owl</t>
  </si>
  <si>
    <t>Hosk</t>
  </si>
  <si>
    <t>Mighty General</t>
  </si>
  <si>
    <t>Madeline</t>
  </si>
  <si>
    <t>Sword of the Kingdom</t>
  </si>
  <si>
    <t>Syndrion</t>
  </si>
  <si>
    <t>Greenfeather</t>
  </si>
  <si>
    <t>Ffraegar</t>
  </si>
  <si>
    <t>Wandering Storm</t>
  </si>
  <si>
    <t>Forondil</t>
  </si>
  <si>
    <t>Warden of the Four Plagues</t>
  </si>
  <si>
    <t>Theodore</t>
  </si>
  <si>
    <t>Master Strategist</t>
  </si>
  <si>
    <t>Skogul</t>
  </si>
  <si>
    <t>Scarlet Scimitar</t>
  </si>
  <si>
    <t>Goresh</t>
  </si>
  <si>
    <t>The Tormentor</t>
  </si>
  <si>
    <t>Bertrand</t>
  </si>
  <si>
    <t>Golden Child</t>
  </si>
  <si>
    <t>Tohar</t>
  </si>
  <si>
    <t>Wit of Wilderburg</t>
  </si>
  <si>
    <t>Maggrat</t>
  </si>
  <si>
    <t>Seer of Spores</t>
  </si>
  <si>
    <t>Zayda</t>
  </si>
  <si>
    <t>Starfall Sniper</t>
  </si>
  <si>
    <t>Urag</t>
  </si>
  <si>
    <t>One-Armed Wolf Lord</t>
  </si>
  <si>
    <t>Tobin</t>
  </si>
  <si>
    <t>Lightbearer</t>
  </si>
  <si>
    <t>Danfel</t>
  </si>
  <si>
    <t>Tiny Juggernaut</t>
  </si>
  <si>
    <t>Mogro</t>
  </si>
  <si>
    <t>Fury of the Forest</t>
  </si>
  <si>
    <t>Naernin</t>
  </si>
  <si>
    <t>Black Claw</t>
  </si>
  <si>
    <t>Tarra</t>
  </si>
  <si>
    <t>Healer of the Humble</t>
  </si>
  <si>
    <t>Thundelyn</t>
  </si>
  <si>
    <t>Lady of Storms</t>
  </si>
  <si>
    <t>Thaleia</t>
  </si>
  <si>
    <t>Skysinger</t>
  </si>
  <si>
    <t>Mu Hsiang</t>
  </si>
  <si>
    <t>Sage of the Bottle-Gourd</t>
  </si>
  <si>
    <t>Falgrim</t>
  </si>
  <si>
    <t>Former Dwarven Mobster</t>
  </si>
  <si>
    <t>Sibyl</t>
  </si>
  <si>
    <t>Tender Arrow</t>
  </si>
  <si>
    <t>Bahorn</t>
  </si>
  <si>
    <t>Airborne Innovator</t>
  </si>
  <si>
    <t>Nëya</t>
  </si>
  <si>
    <t>Radiant Rider</t>
  </si>
  <si>
    <t>Lieh-Shan Yen</t>
  </si>
  <si>
    <t>Supreme General</t>
  </si>
  <si>
    <t>Mardok</t>
  </si>
  <si>
    <t>Dreadfang Renegade</t>
  </si>
  <si>
    <t>Kuma</t>
  </si>
  <si>
    <t>Gladiator Champion</t>
  </si>
  <si>
    <t>Lei Kuan</t>
  </si>
  <si>
    <t>Thunder God</t>
  </si>
  <si>
    <t>Hero</t>
  </si>
  <si>
    <t>Upgrade</t>
  </si>
  <si>
    <t>Skill Enhanced</t>
  </si>
  <si>
    <t>Holistic</t>
  </si>
  <si>
    <t>Unbreakable Barrier</t>
  </si>
  <si>
    <t>Legion gains a shield for 5s that absorbs a massive amount of damage (Shield Factor 400).</t>
  </si>
  <si>
    <t>Shield Factor 150/200/250/325/400</t>
  </si>
  <si>
    <t>In Full Swing</t>
  </si>
  <si>
    <t>All Legions: Increases Engineering by 18% when building or destroying buildings in the field.</t>
  </si>
  <si>
    <t>Engineering bonus 6%/9%/12%/15%/18%</t>
  </si>
  <si>
    <t>Clearsighted</t>
  </si>
  <si>
    <t>All Legions: Increases Gather Speed by 5%, Load Capacity by 5%, and Mana Gather Speed by an extra 10%.</t>
  </si>
  <si>
    <r>
      <rPr>
        <rFont val="Arial"/>
        <color rgb="FF000000"/>
      </rPr>
      <t xml:space="preserve">Gather Speed bonus 1%/2%/3%/4%/5%
Legion Load Capacity bonus 1%/2%/3%/4%/5%
</t>
    </r>
    <r>
      <rPr>
        <rFont val="Arial"/>
        <color rgb="FF1D1F20"/>
      </rPr>
      <t>Mana Gather Speed bonus 3%/4%/6%/8%/10%</t>
    </r>
  </si>
  <si>
    <t>Seasoned</t>
  </si>
  <si>
    <t>Reduces all damage taken by Legion by 10%. This damage reduction is doubled while the Legion is building or destroying Infrastructure or gathering resources.</t>
  </si>
  <si>
    <t>Damage taken reduction 3%/4%/6%/8%/10%</t>
  </si>
  <si>
    <t>Entitled Rage</t>
  </si>
  <si>
    <t>Bertrand deals damage to the target Legion and consumes all stacks of Golden Mark, increasing damage dealt by 5% per stack.
Damage Type: Magic
Damage Factor: 1300</t>
  </si>
  <si>
    <t>Skill Damage Factor 700/800/900/1100/1300</t>
  </si>
  <si>
    <t>Compound Interest</t>
  </si>
  <si>
    <t>When Legion deals Hero Skill damage, they gains 1 stack of Golden Mark for 5s (max 3 stacks). Each stack of Golden Mark increases Hero Skill damage dealt by 10%.</t>
  </si>
  <si>
    <t>Hero Skill damage dealt bonus 4%/5%/6%/8%/10%</t>
  </si>
  <si>
    <t>Magic Circle</t>
  </si>
  <si>
    <t>Legion Magic units gain 25% Magic ATK and 10% DEF Penetration.</t>
  </si>
  <si>
    <t>Magic unit Magic ATK bonus 10%/13%/16%/20%/25%
Magic unit enemy DEF penetration 4%/5%/6%/8%/10%</t>
  </si>
  <si>
    <t>Blue Blood</t>
  </si>
  <si>
    <t>While in the field, Legion gains 15% ATK and DEF if they have not taken normal attack damage for 3s.</t>
  </si>
  <si>
    <t>ATK and DEF bonus 5%/7%/9%/12%/15%</t>
  </si>
  <si>
    <t>Noblesse Oblige</t>
  </si>
  <si>
    <t>Bertrand deals damage to the target Legion and consumes all stacks of Golden Mark, increasing damage dealt by 5% per stack.
Damage Type: Magic
Damage Factor: 1500</t>
  </si>
  <si>
    <t>Earth Conduit</t>
  </si>
  <si>
    <t>After launching 3 normal attacks, Tohar channels Rage of the Plateau, dealing damage to the target every second for up to 3s.
Damage Type: Magic
Damage Factor: 500
Cooldown: 4s
If a Hero in Tohar's Legion casts a Rage Skill, the cooldown ands immediatly.</t>
  </si>
  <si>
    <t>Skill Damage Factor 250/300/350/400/500</t>
  </si>
  <si>
    <t>Defensive Fortifications</t>
  </si>
  <si>
    <t>When garrisoning Cities or Strongholds, the Garrisoned Army gains 20% ATK. Each time Earth Conduit is cast, it has a 50% chance to hit an extra 3 enemy Legions, dealing diffused damage (Damage Factor 200).</t>
  </si>
  <si>
    <t>ATK bonus 10%/12%/14%/16%/20%</t>
  </si>
  <si>
    <t>Shamanic Mastery</t>
  </si>
  <si>
    <t>Legion Magic units deal 30% more Hero skill damage, but deal 5% less normal attack damage.</t>
  </si>
  <si>
    <t>Magic unit Hero Skill damage dealt bonus 10%/15%/20%/25%/30%</t>
  </si>
  <si>
    <t>Plateau Protection</t>
  </si>
  <si>
    <t>When channeling Rage of the Plateau, his Legion gains Unyielding and Shelter for 5s.
Unyielding: Counterattack damage taken -15%
Shelter: DEF +35%</t>
  </si>
  <si>
    <t>Counterattack damage taken reduction 5%/7%/9%/12%/15%
DEF bonus 15%/20%/25%/30%/35%</t>
  </si>
  <si>
    <t>Earth Ritual</t>
  </si>
  <si>
    <t>After Tohar finishes channeling Rage of the Plateau, his Legion gains Keen: ATK +35% for 5s.</t>
  </si>
  <si>
    <t>Legion gains Keen and Rapid-Fire, increasing their ATK by 20% and launching and additional normal attack every second for 7s.</t>
  </si>
  <si>
    <t>Duration 3/4/5/6/7</t>
  </si>
  <si>
    <t>Soaring Ambition</t>
  </si>
  <si>
    <t>When besieging a City or Stronghold, Legion gains 10% ATK and ignores 5% of the enemy's DEF.</t>
  </si>
  <si>
    <t>ATK bonus 4%/5%/6%/8%/10%
DEF Penetration 1%/2%/3%/4%/5%</t>
  </si>
  <si>
    <t>Feather Strike</t>
  </si>
  <si>
    <t>Legion Marksman units gain 10% normal attack Crit Rate and 15% HP.</t>
  </si>
  <si>
    <t>Marksman unit normal attack Crit Rate bonus 4%/5%/6%/8%/10%
Marksman unit HP bonus 5%/7%/9%/12%/15%</t>
  </si>
  <si>
    <t>Forest Shadow</t>
  </si>
  <si>
    <t>When battle begins, Legion gains Rapid-Fire for 3s, launching an extra attack every time they launch a normal attack. 3s after battle begins, Legion gains 20% ATK, lasting until battle ends.</t>
  </si>
  <si>
    <t>ATK bonus 10%/12%/14%/16%/20%
Duration 1/1/2/2/3</t>
  </si>
  <si>
    <t>Free as the Wind</t>
  </si>
  <si>
    <t>Every time Syndrion's Legion lands 5 critical hit(s) from normal attacks, they deal additional damage to the target Legion.
Damage Type: Physical
Damage Factor: 400</t>
  </si>
  <si>
    <t>Bloodsoaked Battle</t>
  </si>
  <si>
    <t>Skogul's Legion gains Vigor and Bloodfury for 6s.
Vigor: HP +15%
Bloodfury: Legion deals additional diffused counterattack damage every second to all Legions at close range when they launch a normal attack on your Legion</t>
  </si>
  <si>
    <t>Duration 2/3/4/5/6
HP bonus 5%/7%/9%/12%/15%</t>
  </si>
  <si>
    <t>Unshakeable</t>
  </si>
  <si>
    <t>Legion Infantry units gain 20% Physical ATK and 10% HP.</t>
  </si>
  <si>
    <t>Infantry unit Physical ATK bonus 5%/8%/11%/15%/20%
HP bonus 4%/5%/6%/8%/10%</t>
  </si>
  <si>
    <t>Guerilla Tactics</t>
  </si>
  <si>
    <t>While in the field, Legion gains 60% March Speed every time they Berserker Charge and 1% ATK every time they launch a counterattack, up to a maximum of 25%.</t>
  </si>
  <si>
    <t>Max ATK bonus 10%/13%/16%/20%/25%</t>
  </si>
  <si>
    <t>Tough as Nails</t>
  </si>
  <si>
    <t>Legion has 10% chance to receive healing when hit with a normal attack (Healing Factor 350). This effect can be triggered once every 5s.</t>
  </si>
  <si>
    <t>Healing Factor 150/200/250/300/350</t>
  </si>
  <si>
    <t>Glory to Wilderburg!</t>
  </si>
  <si>
    <t>Legion Infantry units deal 10% more counterattack damage.</t>
  </si>
  <si>
    <t>Wild Blood</t>
  </si>
  <si>
    <t>Goresh's Legion gains Physical Keen and Resistance for 6s.
Physical Keen: Physical ATK +50%
Resistance: Damage taken -15%</t>
  </si>
  <si>
    <t>Duration 2/3/4/5/6
Physical ATK bonus 20%/25%/30%/40%/50%
Damage taken reduction 5%/7%/9%/12%/15%</t>
  </si>
  <si>
    <t>Steel Skin</t>
  </si>
  <si>
    <t>Legion Infantry units gain 15% DEF and deal 20% more counterattack damage.</t>
  </si>
  <si>
    <t>Infantry unit counterattack damage bonus 5%/8%/11%/15%/20%
Infantry unit DEF bonus 5%/7%/9%/12%/15%</t>
  </si>
  <si>
    <t>Ruthless</t>
  </si>
  <si>
    <t>When Legion launches a counterattack, they have a 50% chance to deal additional damage to up to 5 surrounding Legions. Each additional Legion targeted reduces damage taken by 15%. This effect can be triggered up to 2 times per second.
Damage Type: Physical
Damage Factor: 200</t>
  </si>
  <si>
    <t>Skill Damage Factor 50/80/110/150/200</t>
  </si>
  <si>
    <t>Ravaging Army</t>
  </si>
  <si>
    <t>When besieging a City or Stronghold, Legion gains 20% ATK. If the target Garrison Captain is an Infantry Hero, for every other attacking Legion in the siege, this Hero's Legion gains a 20% chance (up to 60%) to inflict Cower (counterattack damage -50%) for 3s when it launches a normal attack.</t>
  </si>
  <si>
    <t>ATK bonus 5%/8%/11%/15%/20%</t>
  </si>
  <si>
    <t>Total Domination</t>
  </si>
  <si>
    <t>Before Awakening
Goresh's Legion gains Physical Keen and Resistance for 6s.
Physical Keen: Physical ATK +50%
Resistance: Damage taken -15%
After Awakening
Goresh's Legion gains Physical Keen and Resistance for 6s.
Physical Keen: Physical ATK +60%
Resistance: Damage taken -20%</t>
  </si>
  <si>
    <t>Benediction of Aurora</t>
  </si>
  <si>
    <t>Grants Eliana's Legion a Divine Shield and deals damage to the target Legion.
Shield Factor: 500
Shield Duration: 5s
Damage Type: Physical/Magic
Damage Factor: 200</t>
  </si>
  <si>
    <t>Shield Factor 200/270/350/420/500
Physical Skill Damage Factor 100/120/140/170/200
Magic Skill Damage Factor 100/120/140/170/200</t>
  </si>
  <si>
    <t>Purifying Touch</t>
  </si>
  <si>
    <t>All Legions: Increases damage dealt when peacekeeping by 7% and XP gained when peacekeeping by 20%.</t>
  </si>
  <si>
    <t>Damage dealt during Peacekeeping bonus 1%/2%/3%/4%/5%/7%(Awakened)
Hero EXP bonus 6%/8%/10%/12%/15%/20%(Awakened)</t>
  </si>
  <si>
    <t>Leosa's Brilliance</t>
  </si>
  <si>
    <t>Legion takes 30% less normal attack damage.</t>
  </si>
  <si>
    <t>Normal attack damage reduction 10%/15%/20%/25%/30%</t>
  </si>
  <si>
    <t>Holy Heart</t>
  </si>
  <si>
    <t>When casting Rage Skills, Legion gains Shelter, increasing their DEF by 30% for 5s.</t>
  </si>
  <si>
    <t>DEF bonus 10%/15%/20%/25%/30%</t>
  </si>
  <si>
    <t>Divine Grace</t>
  </si>
  <si>
    <t>Grants a Divine Shield to Eliana's Legion, giving them a 70% chance to receive healing when hit with a normal attack (Healing Factor 400). This effect can be triggered once every 3s.</t>
  </si>
  <si>
    <t>Flames of Vengeance</t>
  </si>
  <si>
    <t>Deals diffused damage to the target and 2 nearby Legions, with a 50% chance to inflict Scorch: deals damage every second for 5s.
Damage Type: Magic
Damage Factor (Targets): 1200
Damage Factor (Scorch): 200</t>
  </si>
  <si>
    <t>Skill Damage Factor 600/700/800/1000/1200
Probability 10%/20%/30%/40%/50%</t>
  </si>
  <si>
    <t>Dazzling Inferno</t>
  </si>
  <si>
    <t>All Legions: Increases damage dealt when peacekeeping by 15%.</t>
  </si>
  <si>
    <t>Damage dealt during Peacekeeping bonus 4%/6%/8%/10%/12%/15%(Awakened)</t>
  </si>
  <si>
    <t>Deep Burn</t>
  </si>
  <si>
    <t>Legion Magic units gain 20% Magic ATK and 10% HP.</t>
  </si>
  <si>
    <t>Magic unit Magic ATK bonus 10%/12%/14%/16%/20%
Magic unit HP bonus 4%/5%/6%/8%/10%</t>
  </si>
  <si>
    <t>Witchy Wiles</t>
  </si>
  <si>
    <t>When Liliya's Legion launches a normal attack, 30% chance to Scorch up to 2 surrounding enemy Legions, if the target Legion is Scorched.</t>
  </si>
  <si>
    <t>Probability 10%/15%/20%/25%/30%</t>
  </si>
  <si>
    <t>Burning Blood</t>
  </si>
  <si>
    <t>Before Awakening
Deals diffused damage to the target and 1 nearby Legions, with a 50% chance to inflict Scorch: deals damage every second for 5s.
Damage Type: Magic
Damage Factor (Targets): 1200
Damage Factor (Scorch): 200
After Awakening
Deals diffused damage to the target and 2 nearby Legions, with a 50% chance to inflict Scorch: deals damage every second for 5s.
Damage Type: Magic
Damage Factor (Targets): 1200
Damage Factor (Scorch): 200</t>
  </si>
  <si>
    <t>Roadblock</t>
  </si>
  <si>
    <t>Slows and inflicts Gloom on an enemy Legion, reducing their ATK by 20% and their March Speed by 30% for 4s.</t>
  </si>
  <si>
    <t>ATK reduction 5%/8%/11%/15%/20%
March Speed reduction 6%/12%/18%/24%/30%</t>
  </si>
  <si>
    <t>Midas Touch</t>
  </si>
  <si>
    <t>All Legions: Increases Gather Speed by 5% and Gold Gather Speed by an extra 10%.</t>
  </si>
  <si>
    <t>Gather Speed bonus 1%/2%/3%/4%/5%
Gold Gather Speed bonus 3%/4%/6%/8%/10%</t>
  </si>
  <si>
    <t>Caravaneer</t>
  </si>
  <si>
    <t>All Legions: Increases Load Capacity by 10%.</t>
  </si>
  <si>
    <t>Legion Load Capacity bonus 3%/4%/6%/8%/10%</t>
  </si>
  <si>
    <t>Tender Care</t>
  </si>
  <si>
    <t>Reduces all damage taken by Kella’s Legion by 10%and reduces the number of severely wounded units for both her Legion and the enemy’s Legion by 15%, leaving those units lightly wounded instead.</t>
  </si>
  <si>
    <t>Severely wounded reduction 3%/6%/9%/12%/15%</t>
  </si>
  <si>
    <t>Hunter’s Instinct</t>
  </si>
  <si>
    <t>Grants Riposte and Passion, increasing counterattack damage by 15% and increasing Rage Accumulation Speed by 15% for 5s.</t>
  </si>
  <si>
    <t>Counterattack damage bonus 5%/7%/9%/12%/15%
Rage Accumulation Speed bonus 5%/7%/9%/12%/15%</t>
  </si>
  <si>
    <t>Mountain Mover</t>
  </si>
  <si>
    <t>All Legions: Increases Gather Speed by 5%, Load Capacity by 5%, and Ore Gather Speed by an extra 10%.</t>
  </si>
  <si>
    <t>Gather Speed bonus 1%/2%/3%/4%/5%
Legion Load Capacity bonus 1%/2%/3%/4%/5%
Ore Gather Speed bonus 3%/4%/6%/8%/10%</t>
  </si>
  <si>
    <t>Hands-on Experience</t>
  </si>
  <si>
    <t>Increases Legion DEF by 7%.</t>
  </si>
  <si>
    <t>DEF bonus 2%/3%/4%/5%/7%</t>
  </si>
  <si>
    <t>Comfort Food</t>
  </si>
  <si>
    <t>Increases Legion HP by 7% and automatically heals the Legion’s lightly wounded units after defeating an enemy Legion (Healing Factor 1000).</t>
  </si>
  <si>
    <t>HP bonus 2%/3%/4%/5%/7%
Healing Factor 300/450/600/800/1000</t>
  </si>
  <si>
    <t>Spear of Judgement</t>
  </si>
  <si>
    <t>Deals damage to the target and 2 nearby Legions.
Damage Type: Physical
Damage Factor: 600</t>
  </si>
  <si>
    <t>Skill Damage Factor 200/300/400/500/600</t>
  </si>
  <si>
    <t>Devotion</t>
  </si>
  <si>
    <t>Alistair’s Legion gains 10% HP and 10% Physical ATK.</t>
  </si>
  <si>
    <t>HP bonus 4%/5%/6%/8%/10%
Physical ATK bonus 4%/5%/6%/8%/10%</t>
  </si>
  <si>
    <t>Hold the Line</t>
  </si>
  <si>
    <t>20% chance to increase DEF by 30% for 2s when attacking Cities and Strongholds. This effect can be triggered once every 5s.</t>
  </si>
  <si>
    <t>Light of Sorland</t>
  </si>
  <si>
    <t>When the Legion has over 50% units remaining, it has a 20% chance to gain Riposte and Passion when launching normal attacks, increasing Counterattack damage dealt by 30% and Rage Accumulation Speed by 30% for 3s. This effect can be triggered once every 5s.</t>
  </si>
  <si>
    <t>Counterattack damage bonus 10%/15%/20%/25%/30%
Rage Accumulation Speed bonus 10%/15%/20%/25%/30%</t>
  </si>
  <si>
    <t>Chivalric Oath</t>
  </si>
  <si>
    <t>Legion Cavalry units deal 10% more normal attack damage, and take 10% less damage.</t>
  </si>
  <si>
    <t>Shimmerstrike</t>
  </si>
  <si>
    <t>Deals damage to the target Legion and inflicts Bruise: HP-30% for 3s.
Damage Type: Physical
Damage Factor: 1500</t>
  </si>
  <si>
    <t>Skill Damage Factor 600/800/1000/1200/1500
HP reduction 10%/15%/20%/25%/30%</t>
  </si>
  <si>
    <t>Assassin’s Covenant</t>
  </si>
  <si>
    <t>All Legions: Increases damage dealt when peacekeeping by 10% and XP gained when peacekeeping by 10%.</t>
  </si>
  <si>
    <t>Damage dealt during Peacekeeping bonus 3%/4%/5%/6%/8%/10%(Awakened)
Hero EXP bonus 3%/4%/5%/6%/8%/10%(Awakened)</t>
  </si>
  <si>
    <t>Night Prowler</t>
  </si>
  <si>
    <t>Legion Infantry gain 20% Physical ATK and 10% March Speed.</t>
  </si>
  <si>
    <t>Infantry unit Physical ATK bonus 10%/12%/14%/16%/20%
Infantry unit March Speed bonus 4%/5%/6%/8%/10%</t>
  </si>
  <si>
    <t>Blade Maelstrom</t>
  </si>
  <si>
    <t>Increases Hero Skill damage dealt by Nika’s Legion by 10%, and counterattack damage by 20%.</t>
  </si>
  <si>
    <t>Hero Skill damage dealt bonus 4%/5%/6%/8%/10%
Counterattack damage bonus 10%/12%/14%/16%/20%</t>
  </si>
  <si>
    <t>Total Slaughter</t>
  </si>
  <si>
    <t>When Nika's launches a normal attack, they have a 50% chance to deal damage if the target has fewer than 50% units remaining.
Damage Type: Physical
Damage Factor: 500
This effect can be triggered once every 2s.</t>
  </si>
  <si>
    <t>Revitalizing Rune</t>
  </si>
  <si>
    <t>Heals lightly wounded units in Garwood's Legion (Healing Factor 1200) and grants them Resistance reducing all damage taken by 20% for 4s.</t>
  </si>
  <si>
    <t>Healing Factor 500/650/800/1000/1200
Damage taken reduction 10%/12%/14%/16%/20%</t>
  </si>
  <si>
    <t>Tempered Bark</t>
  </si>
  <si>
    <t>The Legion gains 10% HP.</t>
  </si>
  <si>
    <t>HP bonus 2%/4%/6%/8%/10%</t>
  </si>
  <si>
    <t>Call of the Ancient Tree</t>
  </si>
  <si>
    <t>Increases the DEF of all Infantry units in this Legion by 20%, and all healing they grant or receive by 30%.</t>
  </si>
  <si>
    <t>DEF bonus 10%/12%/14%/16%/20%
Healing received bonus 10%/15%/20%/25%/30%</t>
  </si>
  <si>
    <t>Thistles and Thorns</t>
  </si>
  <si>
    <t>Has a 75% chance to increase Physical damage dealt by 30% for 5s when healed.</t>
  </si>
  <si>
    <t>Physical Damage Dealt bonus 10%/15%/20%/25%/30%</t>
  </si>
  <si>
    <t>Lifestone</t>
  </si>
  <si>
    <t>Before Awakening
Heals lightly wounded units in Garwood's Legion (Healing Factor 1200) and grants them Resistance reducing all damage taken by 20% for 4s.
After Awakening
Heals lightly wounded units in Garwood's Legion (Healing Factor 1400) and grants them Resistance reducing all damage taken by 20% for 6s.</t>
  </si>
  <si>
    <t>No Quarter</t>
  </si>
  <si>
    <t>Hosk’s Legion gains Keen, Vigor, and Rampage, increasing their ATK by 20%, their HP by 30%, and their damage dealt by 10% for 5s.</t>
  </si>
  <si>
    <t>ATK bonus 10%/12%/14%/16%/20%
HP bonus 10%/15%/20%/25%/30%
Damage dealt bonus 3%/4%/6%/8%/10%</t>
  </si>
  <si>
    <t>A Dream of Peace</t>
  </si>
  <si>
    <t>When launching a Rally, Hosk’s normal attacks have a 50% chance to reduce the target’s Physical DEF by 15% for 3s.</t>
  </si>
  <si>
    <t>DEF reduction 4%/6%/8%/11%/15%</t>
  </si>
  <si>
    <t>Battle-Scarred</t>
  </si>
  <si>
    <t>Increases a Legion’s DEF by 25% when Hosk is a Commander, and their Normal Attack damage by 40% when Hosk is Deputy.</t>
  </si>
  <si>
    <t>DEF bonus 10%/13%/16%/20%/25%
Normal attack damage bonus 15%/20%/25%/30%/40%</t>
  </si>
  <si>
    <t>Plateau Tactics</t>
  </si>
  <si>
    <t>Increases maximum Legion Capacity by 15000.</t>
  </si>
  <si>
    <t>Maximum Legion Capacity bonus 3000/6000/9000/12000/15000</t>
  </si>
  <si>
    <t>Furious Charge</t>
  </si>
  <si>
    <t>After Hosk’s Legion receives a buff effect, their normal attack Crit Rate is increased by 6% and their counterattack Crit Rate is increased by 6% (up to a maximum of 30%) for 6s.</t>
  </si>
  <si>
    <t>Shattering Blow</t>
  </si>
  <si>
    <t>Deals damage to the target Legion.
Damage Type: Physical
Damage Factor: 1500</t>
  </si>
  <si>
    <t>Skill Damage Factor 700/900/1100/1300/1500</t>
  </si>
  <si>
    <t>Watcher’s Blade</t>
  </si>
  <si>
    <t>When Emrys’s Legion enters battle, they gain Passion, increasing their Rage Accumulation Speed by 40% for 5s. This effect can be triggered once every 30s.</t>
  </si>
  <si>
    <t>Rage Accumulation Speed bonus 20%/25%/30%/35%/40%</t>
  </si>
  <si>
    <t>Penumbra</t>
  </si>
  <si>
    <t>All Cavalry units in Emrys’s Legion gain 30% Physical ATK and 10% March Speed.</t>
  </si>
  <si>
    <t>Cavalry unit Physical ATK bonus 10%/15%/20%/25%/30%
Cavalry unit March Speed bonus 3%/4.5%/6%/8%/10%</t>
  </si>
  <si>
    <t>Shadow Raid</t>
  </si>
  <si>
    <t>All damage dealt by the Emrys’s Legion is increased by 10%.Emrys's Legion also deals 15% more Skill damage when attacking targets that have been Surrounded.</t>
  </si>
  <si>
    <t>Damage dealt bonus 4%/5%/6%/8%/10%
Hero Skill damage dealt bonus 5%/7%/9%/12%/15%</t>
  </si>
  <si>
    <t>Springblade</t>
  </si>
  <si>
    <r>
      <rPr>
        <rFont val="Arial"/>
        <color theme="1"/>
      </rPr>
      <t>When hit a normal attack, Emrys's Legion has a 20% chance to gain Passion, increasing Rage Accumulation Speed by 20% for 5s. If Emrys's Legion already has Passion, it is removed, granting 100 Rage. This effect can be triggered once every 2s</t>
    </r>
    <r>
      <rPr>
        <rFont val="Arial"/>
        <color theme="1"/>
        <sz val="11.0"/>
      </rPr>
      <t>.</t>
    </r>
  </si>
  <si>
    <t>Blessed Blade</t>
  </si>
  <si>
    <t>Grants Physical Keen, increasing Physical ATK by 20% for 4s. Also grants a shield which absorbs damage (Shield Factor 1200) for 4s.</t>
  </si>
  <si>
    <t>Physical ATK bonus 5%/8%/11%/15%/20%
Shield Factor 600/700/800/1000/1200</t>
  </si>
  <si>
    <t>Glorious Bloodline</t>
  </si>
  <si>
    <t>Increases Legion Capacity by 15000, and increases Physicl damage dealt by Legion in the field by 3%.</t>
  </si>
  <si>
    <t>Maximum Legion Capacity bonus 3000/6000/9000/12000/15000
Physical Damage Dealt bonus 3%/4%/6%/8%/10%</t>
  </si>
  <si>
    <t>Steel Sentinel</t>
  </si>
  <si>
    <t>Legion deals 15% more counterattack damage, and all Infantry units in the Legion gain 15% HP.</t>
  </si>
  <si>
    <t>Infantry unit HP bonus 5%/7%/9%/12%/15%
Counterattack damage bonus 5%/7%/9%/12%/15%</t>
  </si>
  <si>
    <t>Piercing Gaze</t>
  </si>
  <si>
    <t>When Blessed Blade's shield is broken, Madeline deals damage to up to 3 surrounding Legions.
Damage Type: Physical
Damage Factor: 300</t>
  </si>
  <si>
    <t>Skill Damage Factor 100/150/200/250/300</t>
  </si>
  <si>
    <t>The Sword of Sorland</t>
  </si>
  <si>
    <t>Before Awakening
When Blessed Blade's shield is broken, Madeline deals damage to up to 3 surrounding Legions.
Damage Type: Physical
Damage Factor: 300
After Awakening
When Blessed Blade's shield is broken, Madeline deals damage to up to 3 surrounding Legions and gains Resistance: damage taken -10% for 4s..
Damage Type: Physical
Damage Factor: 300</t>
  </si>
  <si>
    <t>Venomous Overgrowth</t>
  </si>
  <si>
    <t>Deals damage to the target.
Damage Type: Magic
Damage Factor: 600
Target is also Ensnared for 3s:
1) Deals Magic damage every second (Damage Factor 100)
2) March Speed -10%</t>
  </si>
  <si>
    <t>Skill Damage Factor 300/360/420/500/600
Continuous Damage Factor 100/100/100/100/100</t>
  </si>
  <si>
    <t>Wealdshield</t>
  </si>
  <si>
    <t>Legion Magic units gain 10% Magic ATK and 10% HP.</t>
  </si>
  <si>
    <t>Magic unit Magic ATK bonus 4%/5%/6%/8%/10%
Magic unit HP bonus 4%/5%/6%/8%/10%</t>
  </si>
  <si>
    <t>Oath of the Wellspring</t>
  </si>
  <si>
    <t>Legion takes 15% less normal attack damage in the field.</t>
  </si>
  <si>
    <t>Normal attack damage taken reduction 5%/7%/9%/12%/15%</t>
  </si>
  <si>
    <t>Friend of the Hemlock</t>
  </si>
  <si>
    <t>When Legion is hit with a normal attack, 15% chance to Ensnare the attacker for 3s.
Ensnared:
1) Deals Magic damage every second (Damage Factor 100)
2) March Speed -10%</t>
  </si>
  <si>
    <t>Probability 3%/6%/9%/12%/15%</t>
  </si>
  <si>
    <t>Miasmic Mist</t>
  </si>
  <si>
    <t>Before Awakening
Deals damage to the target.
Damage Type: Magic
Damage Factor: 600
Target is also Ensnared for 3s:
1) Deals Magic damage every second (Damage Factor 100)
2) March Speed -10%
After Awakening
Alwyn deals damage to the target Legion and Ensnares them for 3s. If the target is suffering from any other effects that deal Magic damage, Alwyn deals additional damage.
Damage Type: Magic
Damage Factor: 600
Damage Factor (Additional): 200
Ensnared:
1) Deals Magic damage every second (Damage Factor 100)
2) March Speed -10%</t>
  </si>
  <si>
    <t>Grayclaw Fury</t>
  </si>
  <si>
    <t>Deals damage to the target Legion and grants Bakhar's Legion Rampage: damage dealt by 20% for 4s.
Damage Type: Physical
Damage Factor: 600</t>
  </si>
  <si>
    <t>Skill Damage Factor 300/370/440/510/600
Damage bonus 4%/8%/12%/16%/20%</t>
  </si>
  <si>
    <t>Legion Infantry units Legion gain 10% Physical ATK and 10% DEF.</t>
  </si>
  <si>
    <t>Infantry unit Physical ATK bonus 3%/4%/6%/8%/10%
Infantry unit DEF bonus 3%/4%/6%/8%/10%</t>
  </si>
  <si>
    <t>Fearsome Roar</t>
  </si>
  <si>
    <t xml:space="preserve">When Legion is hit with a normal attack, Legion has a 20% chance to inflict Gloom on the target, reducing their ATK by 25% for 4s. This effect can be triggered once every 10s.
</t>
  </si>
  <si>
    <t>ATK reduction 5%/10%/15%/20%/25%</t>
  </si>
  <si>
    <t>Tireless Will</t>
  </si>
  <si>
    <t>Garrisoned Armies takes 15% less Hero Skill damage while garrisoned in a City or Stronghold, and receives 15% more healing.</t>
  </si>
  <si>
    <t>Hero Skill damage taken reduction 4%/6%/8%/11%/15% 
Healing granted bonus 4%/6%/8%/11%/15%</t>
  </si>
  <si>
    <t>Last-Ditch Strike</t>
  </si>
  <si>
    <t>When Bakhar's Legion has less than 50% units remaining, they have a 50% chance of inflicting Bleed on the target when counterattacking.
Bleed: deals damage every second for 3s
Damage Type: Physical
Damage Factor: 200</t>
  </si>
  <si>
    <t>Fragmentation Bolt</t>
  </si>
  <si>
    <t>Deals damage to the target Legion, and deals additional damage to up to 2 of the nearest Legions.
Damage Type: Physical
Damage Factor: (Target): 600
Damage Factor (Other Legions): 300</t>
  </si>
  <si>
    <t>Skill Damage Factor 200/300/400/500/600
Bomb Additional Damage Factor 100/150/200/250/300</t>
  </si>
  <si>
    <t>Wyvern Rider</t>
  </si>
  <si>
    <t>Legion deals 10% more Hero Skill damage. After battle ends, they gain 20% March Speed for 10s.</t>
  </si>
  <si>
    <t>Hero Skill damage dealt bonus 4%/5%/6%/8%/10%
March Speed bonus 10%/12%/14%/16%/20%</t>
  </si>
  <si>
    <t>Aerial Formation</t>
  </si>
  <si>
    <t>Increases Legion’s ATK by 10%. If the Legion is composed entirely of Flying units, units gain 10% DEF.</t>
  </si>
  <si>
    <t>ATK bonus 4%/5%/6%/8%/10%
DEF bonus 4%/5%/6%/8%/10%</t>
  </si>
  <si>
    <t>Building Frenzy</t>
  </si>
  <si>
    <t>All Legions: Increases Engineering by 22% when building or destroying buildings in the field.</t>
  </si>
  <si>
    <t>Engineering bonus while building 6%/9%/12%/15%/18%/22%(Awakened)
Bonus to Engineering when destroying 6%/9%/12%/15%/18%/22%(Awakened)</t>
  </si>
  <si>
    <t>Biggus Bombus</t>
  </si>
  <si>
    <t>Before Awakening
Deals damage to the target Legion, and deals additional damage to up to 2 of the nearest Legions.
Damage Type: Physical
Damage Factor (Target): 600
Damage Factor (Other Legions): 300
After Awakening
Deals damage to the target Legion, and deals additional damage to up to 2 of the nearest Legions. Damage Legions gains Bleed: deals damage every second for 3s.
Damage Type: Physical
Damage Factor (Target): 800
Damage Factor (Other Legions): 300
Damage Factor (Bleed): 200</t>
  </si>
  <si>
    <t>Ice Breath</t>
  </si>
  <si>
    <t>Deals damage to the target and 2 nearby Legions and inflicts Gloom: ATK -20% for 2s.
Damage Type: Magic
Damage Factor: 600</t>
  </si>
  <si>
    <t>Skill Damage Factor 300/370/440/510/600 
ATK reduction 4%/8%/12%/16%/20%</t>
  </si>
  <si>
    <t>Royal Court Mage</t>
  </si>
  <si>
    <t xml:space="preserve">All Magic units in Waldyr’s Legion gain 10% Magic ATK and 10% HP. </t>
  </si>
  <si>
    <t>Magic unit Magic ATK bonus 3%/4%/6%/8%/10%
Magic unit HP bonus 3%/4%/6%/8%/10%</t>
  </si>
  <si>
    <t>Frostbite</t>
  </si>
  <si>
    <t>Waldyr's Legion deals 15% more Hero Skill damage.</t>
  </si>
  <si>
    <t>Hero Skill damage dealt bonus 4%/6%/8%/11%/15%</t>
  </si>
  <si>
    <t>Icy Veins</t>
  </si>
  <si>
    <t>When Waldyr takes Hero Skill damage, his Legion receives a Shield that can absorb a large amount of damage (Shield Factor 600). This effect can be triggered once per 20s.</t>
  </si>
  <si>
    <t>Shield Factor 200/300/400/500/600</t>
  </si>
  <si>
    <t xml:space="preserve">Tide of Winter </t>
  </si>
  <si>
    <t>Before Awakening
Deals damage to the target and 2 nearby Legions and inflicts Gloom: ATK -20% for 2s.
Damage Type: Magic
Damage Factor: 600
After Awakening
Deals damage to the target and 3 nearby Legions and inflicts Gloom and Freeze for 3s.
Gloom: ATK -20%
Freeze: March Speed -20%
Damage Type: Magic
Damage Factor: 700</t>
  </si>
  <si>
    <t>Smite</t>
  </si>
  <si>
    <t>Deals damage to the target Legion.
Damage Type: Magic
Damage Factor: 800</t>
  </si>
  <si>
    <t>Skill Damage Factor 300/400/500/650/800</t>
  </si>
  <si>
    <t>Eye of Insight</t>
  </si>
  <si>
    <t>Launching a normal attacks have a 30% chance to grant Atheus’s Legion 60 Rage.</t>
  </si>
  <si>
    <t>Extra Rage gained 20/30/40/50/60</t>
  </si>
  <si>
    <t>Sanctified Wings</t>
  </si>
  <si>
    <t>Atheus's Legion gains 10% HP. If the Legion is composed entirely of Flying units, all healing they receive is increased by 15%.</t>
  </si>
  <si>
    <t>HP bonus 3%/4%/6%/8%/10%
Healing received bonus 4%/6%/8%/11%/15%</t>
  </si>
  <si>
    <t>Winged Embrace</t>
  </si>
  <si>
    <t>Atheus's Legion gains 20% March Speed and takes 10% less damage.</t>
  </si>
  <si>
    <t xml:space="preserve">March Speed bonus 5%/8%/11%/15%/20% 
Damage taken reduction 3%/4%/6%/8%/10% </t>
  </si>
  <si>
    <t xml:space="preserve">Redemptive Healer </t>
  </si>
  <si>
    <t>Atheus's Legion has a 30% chance to receive healing when hit with a normal attack (Healing Factor 400). This effect can be triggered once every 10s.</t>
  </si>
  <si>
    <t>Chaotic Arrows</t>
  </si>
  <si>
    <t>Deals damage to the target Legion 3 times in quick succession.
Damage Type: Physical
Damage Factor: 200,200,400</t>
  </si>
  <si>
    <t>Skill Damage Factor 100/120/140/160/200 
Final attack Damage Factor 200/250/300/350/400</t>
  </si>
  <si>
    <t>Aspiring Queensguard</t>
  </si>
  <si>
    <t>All Legions: Increases damage dealt when peacekeeping by 10%.</t>
  </si>
  <si>
    <t>Damage dealt during Peacekeeping bonus 3%/4%/5%/6%/8%/10%(Awakened)</t>
  </si>
  <si>
    <t>Green Boats Master</t>
  </si>
  <si>
    <t xml:space="preserve">Legion Marksman units gain 15% Physical ATK and 10% March Speed. </t>
  </si>
  <si>
    <t>Marksman unit Physical ATK bonus 4%/6%/8%/11%/15% 
Marksman unit March Speed bonus 3%/4%/6%/8%/10%</t>
  </si>
  <si>
    <t>Preemptive Strike</t>
  </si>
  <si>
    <t>When Legion has 50% Unit Count or higher, units deal 10% more damage.</t>
  </si>
  <si>
    <t>Damage dealt bonus 3%/4%/6%/8%/10%</t>
  </si>
  <si>
    <t>Fervent Wind</t>
  </si>
  <si>
    <t>When Gwanwyn's Legion launches a normal attack, they have a 50% chance to inflict Poison: deals damage every second for 3s.
Damage Type: Physical
Damage Factor: 100</t>
  </si>
  <si>
    <t>Piercing Shot</t>
  </si>
  <si>
    <t>Deals damage to the target Legion and inflicts DEF Break: DEF -15% for 3s.
Damage Type: Physical
Damage Factor: 1400</t>
  </si>
  <si>
    <t>Skill Damage Factor 700/800/1000/1200/1400
DEF reduction 5%/7%/9%/12%/15%</t>
  </si>
  <si>
    <t>Expert Mechanic</t>
  </si>
  <si>
    <t>When entering battle in the field, the Legion gains Vigor (HP+10%) and Haste (March Speed +15%) for 10s. This effect can trigger once every 30s.</t>
  </si>
  <si>
    <t>HP bonus 3%/4%/6%/8%/10%
March Speed bonus 6%/8%/10%/12%/15%</t>
  </si>
  <si>
    <t>Agile Deployment</t>
  </si>
  <si>
    <t>All Marksman units in Nico’s Legion gain 20% ATK and 10% DEF.</t>
  </si>
  <si>
    <t>Marksman unit DEF bonus 4%/5%/6%/8%/10%
Marksman unit Physical ATK bonus 10%/12%/14%/16%/20%</t>
  </si>
  <si>
    <t>Greymar's Ballista</t>
  </si>
  <si>
    <t>When casting Rage Skills, Nico's Legion gains Onslaught and Riposte, increasing normal attack and counterattack damage dealt by 20% for 5s. This effect can be triggered once every 7s.</t>
  </si>
  <si>
    <t>Normal attack damage bonus 10%/12%/14%/16%/20%
Counterattack damage bonus 10%/12%/14%/16%/20%</t>
  </si>
  <si>
    <t>Bullseye Barrage</t>
  </si>
  <si>
    <t>When Nico's Legion launches a normal attack on a target Legion, that already has DEF Break, they have a 80% chance to deal additional damage.</t>
  </si>
  <si>
    <t>Arbiter’s Ward</t>
  </si>
  <si>
    <t>Theia’s Legion gains a shield that absorbs a large amount of damage (Shield Factor 1000) for 5s, while also gaining Synergy, increasing Hero Skill damage dealt by 15% (ends when a Rage Skill is cast).</t>
  </si>
  <si>
    <t>Shield Factor 500/600/700/850/1000
Hero Skill damage dealt bonus 5%/7%/9%/12%/15%</t>
  </si>
  <si>
    <t>Oracle’s Grace</t>
  </si>
  <si>
    <t>While in the field, Legion’s ATK is increased by 15%, and they take 15% less Hero Skill damage.</t>
  </si>
  <si>
    <t>ATK bonus 5%/7%/9%/12%/15%
Hero Skill damage taken reduction 5%/7%/9%/12%/15%</t>
  </si>
  <si>
    <t>Purging Wings</t>
  </si>
  <si>
    <t>Legion’s DEF is increased by 20%. When Legion is composed entirely of Flying units, their ATK is increasing by 10%, and their March Speed is increased by 20%.</t>
  </si>
  <si>
    <t>DEF bonus 10%/12%/14%/16%/20%
ATK bonus 4%/5%/6%/8%/10%
March speed bonus 10%/12%/14%/16%/20%</t>
  </si>
  <si>
    <t>Lex Lucis</t>
  </si>
  <si>
    <t>When Legion gains a shield, their ATK is increased by 10%, up to a maximum of 30%.</t>
  </si>
  <si>
    <t>ATK bonus 4%/5%/6%/8%/10%
Max ATK bonus 12%/15%/18%/24%/30%</t>
  </si>
  <si>
    <t>Redemption</t>
  </si>
  <si>
    <t>Before Awakening
Theia’s Legion gains a shield that absorbs a large amount of damage (Shield Factor 1000) for 5s, while also gaining Synergy, increasing Hero Skill damage dealt by 15% (ends when a Rage Skill is cast).
After Awakening
Grants a shield to 2 nearby friendly Legions (including Theia’s Legion) that absorbs a large amount of damage for 5s (Shield Factor 1000). Theia’s Legion also gains Synergy, increasing Hero Skill damage dealt by 15% (ends when a Rage Skill is cast).</t>
  </si>
  <si>
    <t>Foremother’s Blessing</t>
  </si>
  <si>
    <t>Heals lightly wounded units in a nearby friendly Legion with the lowest Unit Count (Healing Factor 400) and grants the Legion Onslaught, increasing normal attack damage dealt by 20% for 5s.</t>
  </si>
  <si>
    <t>Healing Factor 200/250/300/350/400
Normal attack damage bonus 8%/11%/14%/17%/20%</t>
  </si>
  <si>
    <t>Secret of the Trees</t>
  </si>
  <si>
    <t>All Legions: Increases Gather Speed by 7% and Wood Gather Speed by an extra 15%.</t>
  </si>
  <si>
    <t>Gather Speed bonus 1%/2%/3%/4%/5%/7%(Awakened)
Wood Gather Speed bonus 4%/6%/8%/10%/12%/15%(Awakened)</t>
  </si>
  <si>
    <t>Song of Protection</t>
  </si>
  <si>
    <t>Increases Legion DEF by 15%, while reducing Hero Skill damage taken by 10%.</t>
  </si>
  <si>
    <t>DEF Bonus 5%/7%/9%/12%/15%
Hero Skill damage taken reduction 4%/5%/6%/8%/10%</t>
  </si>
  <si>
    <t>Dream Omen</t>
  </si>
  <si>
    <t>Legion has a 20% to remove a debuff effect when hit with a normal attack. This effect can be triggered once every 5s.</t>
  </si>
  <si>
    <t>Probability 8%/11%/14%/17%/20%</t>
  </si>
  <si>
    <t>Prayer of Life</t>
  </si>
  <si>
    <t>Before Awakening
Heals lightly wounded units in a nearby friendly Legion with the lowest Unit Count (Healing Factor 400) and grants the Legion Onslaught, increasing normal attack damage dealt by 20% for 5s.
After Awakening
Heals lightly wounded units in a nearby friendly Legion with the lowest Unit Count (Healing Factor 400) and grants them Onslaught, increasing normal attack damage dealt by 20% for 5s, while also healing Pan’s Legion (Healing Factor 200).</t>
  </si>
  <si>
    <t>Rattlesnake Strike</t>
  </si>
  <si>
    <t>Deals damage to the target Legion and inflicts Feeble: damage dealt -15% for 5s.</t>
  </si>
  <si>
    <t>Skill Damage Factor 700/800/1000/1200/1400
Target damage dealt reduction 4%/6%/8%/11%/15%</t>
  </si>
  <si>
    <t>Provocation</t>
  </si>
  <si>
    <t>While in the field, Legion deals 20% more normal attack damage, and takes 10% less Hero Skill damage.</t>
  </si>
  <si>
    <t>Normal attack damage bonus 10%/12%/14%/16%/20%
Hero Skill damage taken reduction 4%/5%/6%/8%/10%</t>
  </si>
  <si>
    <t>Hunter’s Pace</t>
  </si>
  <si>
    <t>Legion Marksman units gain 30% Physical ATK.</t>
  </si>
  <si>
    <t>Marksman unit Physical ATK bonus 10%/15%/20%/25%/30%</t>
  </si>
  <si>
    <t>Gratuitous Violence</t>
  </si>
  <si>
    <t>When Legion is attacked, they have a 20% chance to gain Physical Riposte and inflict Slow upon the target, increasing Physical counterattack damage dealt by 30% and reducing the target’s March Speed by 20% for 5s.</t>
  </si>
  <si>
    <t>Physical Counterattack Damage Dealt bonus 10%/15%/20%/25%/30%
March Speed reduction 10%/12%/14%/16%/20%</t>
  </si>
  <si>
    <t>Jawbreaker</t>
  </si>
  <si>
    <t>When Kinnara’s Legion launches a normal attack, they have a 20% chance to inflict DEF Break on the target Legion, reducing their DEF by 20% for 3s.</t>
  </si>
  <si>
    <t>Frozen Star</t>
  </si>
  <si>
    <t>Deals diffused damage to the target and 2 nearby Legions, and inflicts Freeze for 3s.
Freeze: March Speed -20%
Damage Type: Magic
Damage Factor: 1200</t>
  </si>
  <si>
    <t>Skill Damage Factor 600/700/800/1000/1200
March Speed reduction 10%/12%/14%/16%/20%</t>
  </si>
  <si>
    <t>Perfection of Form</t>
  </si>
  <si>
    <t>While in the field, Legion deals 15% more Hero Skill damage and gains 20% March Speed.</t>
  </si>
  <si>
    <t>Hero Skill damage dealt bonus 5%/7%/9%/12%/15%
March Speed bonus 10%/12%/14%/16%/20%</t>
  </si>
  <si>
    <t>Bitter Cold</t>
  </si>
  <si>
    <t>Legion Magic units 10% Hero Skill Crit Rate and 15% DEF.</t>
  </si>
  <si>
    <t>Magic unit Hero Skill Crit Rate bonus 4%/5%/6%/8%/10%
Magic unit DEF bonus 5%/7%/9%/12%/15%</t>
  </si>
  <si>
    <t>Icy Interdiction</t>
  </si>
  <si>
    <t>When in battle, Legion has a 20% chance to inflict Magic DEF Break and Freeze on the target, reducing their Magic DEF by 20% and their March Speed by 20% for 3s.</t>
  </si>
  <si>
    <t>Magic DEF reduction 10%/12%/14%/16%/20%
March Speed reduction 10%/12%/14%/16%/20%</t>
  </si>
  <si>
    <t>Snowblind</t>
  </si>
  <si>
    <t>When casting a Rage Skill on a target that is Frozen, Velyn deals additional damage and removes the target's Frozen effect.
Damage Type: Magic
Damage Factor: 400</t>
  </si>
  <si>
    <t>Wolf-Spirit Binds</t>
  </si>
  <si>
    <t>Deals damage to the target Legion and grants Bakshi's Legion Vigor: HP +20% for 5s.
Damage Type: Physical
Damage Factor: 1400</t>
  </si>
  <si>
    <t>Skill Damage Factor 700/800/1000/1200/1400
HP bonus 10%/12%/14%/16%/20%</t>
  </si>
  <si>
    <t>Sense Weakness</t>
  </si>
  <si>
    <t>Quickened Blood</t>
  </si>
  <si>
    <t>Legion Cavalry units gain 10% HP and 20% Physical ATK.</t>
  </si>
  <si>
    <t>Cavalry unit HP bonus 4%/5%/6%/8%/10%
Cavalry unit Physical ATK bonus 10%/12%/14%/16%/20%</t>
  </si>
  <si>
    <t>Shaman's Call</t>
  </si>
  <si>
    <t>While in battle, Legion randomly gains either Ascension (increases ATK and DEF by 30%), Passion (increases Rage Accumulation Speed by 30%), or Spirit Siphon (launching normal attacks grants healing, Healing Factor 200) every 10s, lasting for 5s.</t>
  </si>
  <si>
    <t>ATK and DEF bonus 10%/15%/20%/25%/30%
Rage Accumulation Speed bonus 10%/15%/20%/25%/30%
Healing Factor 100/120/140/170/200</t>
  </si>
  <si>
    <t>Howl of the Wolf-Spirit</t>
  </si>
  <si>
    <t>Before Awakening
Deals damage to the target Legion and grants Bakshi's Legion Vigor: HP +20% for 5s.
Damage Type: Physical
Damage Factor: 1400
After Awakening
Deals damage to the target Legion and grants Bakshi's Legion Vigor: HP +30% for 5s.
Damage Type: Physical
Damage Factor: 1500</t>
  </si>
  <si>
    <t>Axiom of Glory</t>
  </si>
  <si>
    <t>Inflicts Infirm on the target Legion and 2 nearby Legions, increasing all damage taken by 200% for 2s, while also healing lightly wounded units in up to 2 surrounding Legions (Healing Factor 350).</t>
  </si>
  <si>
    <t>Target damage taken bonus 10%/12%/14%/16%/20%
Healing Factor 150/200/250/300/350</t>
  </si>
  <si>
    <t>Earthen Balance</t>
  </si>
  <si>
    <t>All Legions: Increases Gather Speed by 7% and Wood Gather Speed by an extra 20%.</t>
  </si>
  <si>
    <t>Gather Speed bonus 1%/2%/3%/4%/5%/7%(Awakened)
Wood Gather Speed bonus 6%/8%/10%/12%/15%/20%(Awakened)</t>
  </si>
  <si>
    <t>Rejuvenating Blessing</t>
  </si>
  <si>
    <t>Increases Legion HP by 20% and maximum Legion Capacity by 7%.</t>
  </si>
  <si>
    <t>HP bonus 10%/12%/14%/16%/20%
Maximum Legion Capacity bonus 3%/4%/5%/6%/7%</t>
  </si>
  <si>
    <t>Purge</t>
  </si>
  <si>
    <t>When in battle, Indis’s Legion gains Unyielding every 8s, reducing counterattack damage taken by 30% for 5s, and removing one debuff effect.</t>
  </si>
  <si>
    <t>Counterattack damage taken reduction 20%/25%/30%/40%/50%</t>
  </si>
  <si>
    <t>Oaken Order</t>
  </si>
  <si>
    <t>Before Awakening
Inflicts Infirm on the target Legion and 2 nearby Legions, increasing all damage taken by 200% for 2s, while also healing lightly wounded units in up to 2 surrounding Legions (Healing Factor 350).
After Awakening
Inflicts Infirm on the target Legion and 3 nearby Legions, increasing all damage taken by 200% for 2s, while also healing lightly wounded units in up to 2 surrounding Legions (Healing Factor 450).</t>
  </si>
  <si>
    <t>Shattering Screech</t>
  </si>
  <si>
    <t>Deals Physical damage to the target Legion (Damage Factor 1200), and deals extra Physical damage for each enemy Legion near the target Legion (Damage Factor 50, up to 250). Also inflicts Cowardice: all normal attacks miss for 3s.
Damage Type: Skill Damage (Physical)
Damage Factor: 1200</t>
  </si>
  <si>
    <t>Skill Damage Factor: 600/700/800/1000/1200
Duration: 1/1/2/2/3</t>
  </si>
  <si>
    <t>Death From Above</t>
  </si>
  <si>
    <t>Legion penetrates 10% of enemy’s DEF while in the field.</t>
  </si>
  <si>
    <t>DEF Penetration: 4%/5%/6%/8%/10%</t>
  </si>
  <si>
    <t>Song of Swiftness</t>
  </si>
  <si>
    <t>Grants buffs when leading a Cavalry Legions.
When Forondil is Commander:
March Speed +20%
Damage dealt +10%
When Forondil is Deputy:
Hero Skill damage dealt +10%
Rage Skill cost -50</t>
  </si>
  <si>
    <t>March Speed bonus 10%/12%/14%/16%/20%
Damage dealt bonus 4%/5%/6%/8%/10%
Skill Damage bonus 4%/5%/6%/8%/10%
Rage Cost Reduction 10/20/30/40/50</t>
  </si>
  <si>
    <t>Aiming High</t>
  </si>
  <si>
    <t>Legion gains an ATK bonus upon entering battle.
ATK Bonus: 40%
Bonus reduced by -5% every 20s</t>
  </si>
  <si>
    <t>ATK bonus 20%/25%/30%/35%/40%</t>
  </si>
  <si>
    <t>Avian Splendor</t>
  </si>
  <si>
    <t>When Forondil's Legion launches a normal attack against a Legion that has Cowardice, they hve 50% chance of inflicting Physical DEF Break and Slow for 3s. This effect can be triggered once every 5s.
Physical DEF Break: Physical DEF -20%
Slow: March Speed -20%</t>
  </si>
  <si>
    <t>Shadowed Spite</t>
  </si>
  <si>
    <t>Deals damage to the target Legion and inflicts Bruise: HP -30% for 3s.
Damage Type: Physical
Damage Factor: 1400</t>
  </si>
  <si>
    <t>Skill Damage Factor 700/800/1000/1200/1400
HP reduction 10%/15%/20%/25%/30%</t>
  </si>
  <si>
    <t>Traitor’s Ambition</t>
  </si>
  <si>
    <t>Legion Cavalry units gain a bonus to their attributes.
DEF Bonus: +30%
March Speed: +10%</t>
  </si>
  <si>
    <t>Cavalry unit DEF bonus 10%/15%/20%/25%/30%
Cavalry Unit March Speed 4%/5%/6%/8%/10%</t>
  </si>
  <si>
    <t>Royal Writ</t>
  </si>
  <si>
    <t>When garrisoning a City or Stronghold, Legion has a 20% chance to gain Vigor and ATK Resistance when hit by an attack.
Vigor: HP +10
ATK Resistance: ignores 10% of enemy ATK
Duration: 3s</t>
  </si>
  <si>
    <t>HP bonus 4%/5%/6%/8%/10%
ATK Resistance 4%/5%/6%/8%/10%</t>
  </si>
  <si>
    <t>Coup de Grace</t>
  </si>
  <si>
    <t>Each time the Legion inflicts a debuff effect on and enemy Legion via a Hero Skill, it gains one stack of Consul's Mark (max 3 stacks).
When Theodore casts a Rage Skill, all stacks of Consul's Mark are consumed, increasing damage dealt by that Skill by 20% per stack. Consul's Mark is reset when battle ends. When the Legion launches Unyielding Rush or Wild Barrage, it gains 3 stacks of Consul's Mark.
Damage bonus: 20% per stack consumed.
Consul’s Mark is reset when battle ends.</t>
  </si>
  <si>
    <t>Hero Skill damage bonus 10%/12%/14%/16%/20%</t>
  </si>
  <si>
    <t>Weaver of Intrigue</t>
  </si>
  <si>
    <t>Legion takes 25% less normal attack damage.</t>
  </si>
  <si>
    <t>Squall Shot</t>
  </si>
  <si>
    <t>Deals damage to the target and grants Ffraegar's Legion Normal Attack Focus: normal attack Crit Rage +60% for 7s.
Damage Type: Physical
Damage Factor: 600</t>
  </si>
  <si>
    <t>Skill Damage Factor 300/360/420/500/600
Duration 3/4/5/6/7</t>
  </si>
  <si>
    <t>Nocked and Loaded</t>
  </si>
  <si>
    <t>While in the field, Legion deals 15% more normal attack damage and gains 15% DEF.</t>
  </si>
  <si>
    <t>Normal attack damage bonus 5%/7%/9%/16%/15%
DEF Bonus 5%/7%/9%/10%/15%</t>
  </si>
  <si>
    <t>Storm Barrage</t>
  </si>
  <si>
    <t>Legion Marksman units gain 20% Physical ATK and 30% normal attack Crit damage.</t>
  </si>
  <si>
    <t>Marksman unit Physical ATK bonus 10%/12%/14%/16%/20%
Normal attack Crit damage bonus 10%/15%/20%/25%/30%</t>
  </si>
  <si>
    <t>Falconeer Charge</t>
  </si>
  <si>
    <t>When Legion launches a normal attack, they have a 20% chance launch an extra normal attack at a Legion other than the target. For the next 5s, this Hero's Legion also gains Haste (March Speed +30%) and the target loses 20% Rage Accumulation Speed.</t>
  </si>
  <si>
    <t>March Speed bonus 15%/18%/21%/25%/30%
Rage Accumulation Speed reduction 10%/12%/14%/16%/20%</t>
  </si>
  <si>
    <t>Cloud Strike</t>
  </si>
  <si>
    <t>Before Awakening
Deals damage to the target and grants Ffraegar's Legion Normal Attack Focus: normal attack Crit Rage +60% for 7s.
Damage Type: Physical
Damage Factor: 600
After Awakening
Deals damage to the target and grants Ffraegar's Legion Normal Attack Focus: normal attack Crit Rage +60% for 7s.
Damage Type: Physical
Damage Factor: 800</t>
  </si>
  <si>
    <t>Peech's Dream</t>
  </si>
  <si>
    <t>Maggrat's Legion gains variable healing whenever they deal normal attack damage (Healing Rate 5%). When variable healing has been triggered 5 times, their next normal attack deals 450% more damage.
Variable healing can be triggered once every 1s.</t>
  </si>
  <si>
    <t>Normal attack damge bonus 250%/300%/350%/400%/450%
Healing Rate 1%/2%/3%/4%/5%</t>
  </si>
  <si>
    <t>Truth Teller</t>
  </si>
  <si>
    <t>Whenever the Legion gains healing or variable healing, they have a 30% chance to gain 40% ATK for 3s.</t>
  </si>
  <si>
    <t>Spore Stupor</t>
  </si>
  <si>
    <t>Legion Marksman units 15% more normal attack damage and gain 20% HP.</t>
  </si>
  <si>
    <t>Normal attack damage bonus 5%/7%/9%/12%/15%
HP bonus 5%/8%/11%/15%/20%</t>
  </si>
  <si>
    <t>Fungal Fervor</t>
  </si>
  <si>
    <t>When Garrisoned Army is in a City or Stronghold, they receive healing every 10s (Healing Factor 200), and gain 10% ATK for 5s.</t>
  </si>
  <si>
    <t>Healing Factor 50/80/110/150/200
ATK bonus 4%/5%/6%/8%/10%</t>
  </si>
  <si>
    <t>Toadstool Stew</t>
  </si>
  <si>
    <t>Before Awakening
Maggrat's Legion gains variable healing whenever they deal normal attack damage (Healing Rate 5%). When variable healing has been triggered 5 times, their next normal attack deals 450% more damage.
Variable healing can be triggered once every 1s.
After Awakening
Maggrat's Legion gains variable healing whenever they deal normal attack damage (Healing Rate 5%). When variable healing has been triggered 5 times, their next normal attack deals 500% more damage.
Variable healing can be triggered once every 1s.</t>
  </si>
  <si>
    <t>Shining Star Shot</t>
  </si>
  <si>
    <t>When Zayda's Legion deals normal attack damage, they gain 1 stack of Dawnwatcher's Mark for 5s (up to 10 stacks, maximum 1 stack every 1s). Each stack of Dawnwatcher's Mark increases normal attack damage dealt by 8% and March Speed by 2%.</t>
  </si>
  <si>
    <t>Normal attack damage bonus 4%/5%/6%/7%/8%
March Speed bonus 1%/1%/1%/2%/2%</t>
  </si>
  <si>
    <t>Decisive Duel</t>
  </si>
  <si>
    <t>When Legion reaches the maximum amount of Dawnwatcher's Mark stacks, they deal 10% more damage, and receive 20% more healing.</t>
  </si>
  <si>
    <t>Damage dealt bonus 4%/5%/6%/8%/10%
Healing received bonus 5%/8%/11%/15%/20%</t>
  </si>
  <si>
    <t>Tactical Adjustment</t>
  </si>
  <si>
    <t>Legion Marksman units gain 30% Physical ATK and 10% March Speed.</t>
  </si>
  <si>
    <t>Physical ATK bonus 10%/15%/20%/25%/30%
March Speed bonus 4%/5%/6%/8%/10%</t>
  </si>
  <si>
    <t>Silver Tongue</t>
  </si>
  <si>
    <t>When Legion deals normal attack damage, they have a 25% chance to gain Normal Attack Focus, increasing their normal attack Crit Rate by 25% for 4s.</t>
  </si>
  <si>
    <t>Normal attack Crit Rate bonus 10%/13%/16%/20%/25%</t>
  </si>
  <si>
    <t>Darling of Dawnwatch</t>
  </si>
  <si>
    <t>Legion gains 3 stack(s) of Dawnwatcher's Mark upon entering battle.</t>
  </si>
  <si>
    <t>Lead the Charge</t>
  </si>
  <si>
    <t>Deals Physical damage to the target (Damage Factor 1600). Damage spreads to up to 2 nearby enemy Legions (Damage Factor 300).</t>
  </si>
  <si>
    <t>Wolf Lord's Will</t>
  </si>
  <si>
    <t>Legion takes 10% less damage when marching, and deals 10% more damage in battle.</t>
  </si>
  <si>
    <t>Damage taken reduction 4%/5%/6%/8%/10%
Damage dealt bonus 4%/5%/6%/8%/10%</t>
  </si>
  <si>
    <t>Forever Onwards</t>
  </si>
  <si>
    <t>Legion Cavalry units gain 10% March Speed and 30% ATK.</t>
  </si>
  <si>
    <t>Cavalry unit March Speed bonus 4%/5%/6%/8%/10%
Cavalry unit Physical ATK bonus 10%/15%/20%/25%/30%</t>
  </si>
  <si>
    <t>Fearsome Flail</t>
  </si>
  <si>
    <t>Legion bypasses 10% of enemy HP, and increases Rage Accumulation Speed by 10%.</t>
  </si>
  <si>
    <t>HP Bypass 4%/5%/6%/8%/10%
Rage Accumulation Speed bonus 4%/5%/6%/8%/10%</t>
  </si>
  <si>
    <t>Ancestral Heritage</t>
  </si>
  <si>
    <t>Before Awakening
Deals Physical damage to the target (Damage Factor 1600). Damage spreads to up to 2 nearby enemy Legions (Damage Factor 300).
After Awakening
Deals Physical damage to the target (Damage Factor 1700). Damage spreads to up to 2 nearby enemy Legions (Damage Factor 400).</t>
  </si>
  <si>
    <t>Eos</t>
  </si>
  <si>
    <t>Deals damage to the target Legion and grants Tobin's Legion Mercy: Range damage taken -30% for 5s.
Damage Type: Physical
Damage Factor: 1600</t>
  </si>
  <si>
    <t>Skill Damage Factor 700/900/1100/1350/1600
Reduced ranged damage taken 10%/15%/20%/25%/30%</t>
  </si>
  <si>
    <t>Light of the Tower</t>
  </si>
  <si>
    <t>When launching a rally, 50% chance to reduce all damage taken by 20% for 5s. This effect can be triggered once every 8s.</t>
  </si>
  <si>
    <t>Damage taken reduction 5%/8%/11%/15%/20%</t>
  </si>
  <si>
    <t>Oath of the Heart</t>
  </si>
  <si>
    <t>Legion Cavalry units gain 20% HP and 10% ATK.</t>
  </si>
  <si>
    <t>Cavalry unit HP bonus 5%/8%/11%/15%/20%
Cavalry unit Physical ATK bonus 4%/5%/6%/8%/10%</t>
  </si>
  <si>
    <t>All-Piercing Light</t>
  </si>
  <si>
    <t>Deals 20% more Rage Skill damage to enemy Legions in front of Legion, and 10% more counterattack damage to Legions behind Legion.</t>
  </si>
  <si>
    <t>Hero Skill damage bonus 5%/8%/11%/15%/20%
Counterattack damage bonus 4%/5%/6%/8%/10%</t>
  </si>
  <si>
    <t>Shared Calling</t>
  </si>
  <si>
    <t>When another Hero in Tobin's Legion deals damage with a Rage Skill, they deal 20% more damage when targeting Ranged Legions, When targeting Melee Legions, they take 15% less damage for 5s.</t>
  </si>
  <si>
    <t>Shield Strike</t>
  </si>
  <si>
    <t>Grants the Legion a shield and deals damage to the target Legion.
Shield Factor: 600
Shield Duration: 3s
Damage Type: Physical
Damage Factor: 1600</t>
  </si>
  <si>
    <t>Skill Damage Factor 700/900/1100/1350/1600
Shield Factor 300/360/420/500/600</t>
  </si>
  <si>
    <t>Greymar's Aegis</t>
  </si>
  <si>
    <t>While in the field, the Legion and friendly Legions behind it gain Mercy for 3s every 10s.
Mercy: Ranged damage taken -20%
Buffed Legions: 3
Effect triggers once every 10s.</t>
  </si>
  <si>
    <t>Reduced ranged damage taken 8%/11%/14%/17%/20%</t>
  </si>
  <si>
    <t>Brothers in Arms</t>
  </si>
  <si>
    <t>All Infantry units in the Legion gain 10% DEF and 20% HP.</t>
  </si>
  <si>
    <t>Infantry unit DEF bonus 4%/5%/6%/8%/10%
Infantry unit HP bonus 8%/11%/14%/17%/20%</t>
  </si>
  <si>
    <t>Halfling Fury</t>
  </si>
  <si>
    <t>When the Legion casts Shield Strike, the target Legion gains Debilitated and Slow for 6s.
Debilitated: takes 20% more damage from this Legion
Slow: March Speed -20%</t>
  </si>
  <si>
    <t>March Speed reduction 8%/11%/14%/17%/20%
Target damage taken bonus 8%/11%/14%/17%/20%</t>
  </si>
  <si>
    <t>Rune of Resolve</t>
  </si>
  <si>
    <t>When dealing damage to a Legion affected by Halfling Fury, adds 1s to the duration of Debilitated and Slow.
This effect can be triggered once every 2s.</t>
  </si>
  <si>
    <t>Ashes of Rage</t>
  </si>
  <si>
    <t>Gains Lash Out for 3s. Meanwhile, target is Branded and Bruised for 3s.
Lash Out: Deals diffused Physical Skill damage every second to the target and 2 surrounding Legions.
Lash Out Damage Factor: 450
Bruised: HP -30%</t>
  </si>
  <si>
    <t>Skill Damage Factor 250/300/350/400/450
HP reduction 10%/15%/20%/25%/30%</t>
  </si>
  <si>
    <t>Rancorous Rampage</t>
  </si>
  <si>
    <t>When the Legion inflicts a debuff upon a target via an Innate Skill, the effect is also transmitted to up to 2 surrounding targets.
Targets are also prioritized for Lash Out and future effect transmission.
Hero Skill damage dealt to debuffed targets: +15%
Effect duration: 10s (can be reset)</t>
  </si>
  <si>
    <t>Hero Skill damage dealt bonus 5%/7%/9%/12%/15%</t>
  </si>
  <si>
    <t>Gold Dust</t>
  </si>
  <si>
    <t>Legion Infantry units gain 10% Physical ATK and 20% DEF.</t>
  </si>
  <si>
    <t>Infantry unit Physical ATK bonus 4%/5%/6%/8%/10%
Infantry unit DEF bonus 8%/11%/14%/17%/20%</t>
  </si>
  <si>
    <t>Unflinching</t>
  </si>
  <si>
    <t>While garrisoning a City or Stronghold, Legion has a 10% chance to increase damage dealt by 10% and bypass 10% of the target's HP for 3s after entering battle.</t>
  </si>
  <si>
    <t>Damage dealt bonus 4%/5%/6%/8%/10%
HP Bypass 4%/5%/6%/8%/10%</t>
  </si>
  <si>
    <t>Brand of Sacred Might</t>
  </si>
  <si>
    <t>When dealing damage to a Branded enemy Legion, deals additional Physical Skill damage (Damage Factor 200).
Effect can be triggered once every 5s.</t>
  </si>
  <si>
    <t>Healing Devotion</t>
  </si>
  <si>
    <t>Heals the Legion's lightly wounded units and grants the Legion Synergy until the Legion casts a Rage Skill.
Healing Factor: 500
Synergy: Hero Skill damage dealt +20%</t>
  </si>
  <si>
    <t>Healing Factor 250/300/360/420/500
Hero Skill damage dealt bonus 10%/12%/14%/17%/20%</t>
  </si>
  <si>
    <t>Enlightenment</t>
  </si>
  <si>
    <t>While in battle, the Legion and 4 surrounding friendly Legions gain Keen and Resistance every 10s.
Keen: ATK +15%
Resistance: Damage taken -10%
Duration: 5s</t>
  </si>
  <si>
    <t>ATK bonus 5%/7%/9%/12%/15%
Damage taken reduction 4%/5%/6%/8%/10%</t>
  </si>
  <si>
    <t>Gatherer and Provider</t>
  </si>
  <si>
    <t>All Legions: Increases Gather Speed by 7% and Mana Gather Speed by an extra 15%.</t>
  </si>
  <si>
    <t>Gather Speed bonus 1%/2%/3%/4%/5%/7%(Awakened)
Mana Gather Speed bonus 4%/6%/8%/10%/12%/15%(Awakened)</t>
  </si>
  <si>
    <t>Gilda's Blessing</t>
  </si>
  <si>
    <t>Legion gains 10% DEF and 10% HP.</t>
  </si>
  <si>
    <t>DEF bonus 4%/5%/6%/8%/10%
HP bonus 4%/5%/6%/8%/10%</t>
  </si>
  <si>
    <t>Prayer of Light</t>
  </si>
  <si>
    <t>Before Awakening
Heals the Legion's lightly wounded units and grants the Legion Synergy until the Legion casts a Rage Skill.
Healing Factor: 500
Synergy: Hero Skill damage dealt +20%
After Awakening
Heals the Legion's lightly wounded units and grants the Legion Synergy until the Legion casts a Rage Skill.
Healing Factor: 600
Synergy: Hero Skill damage dealt +20%</t>
  </si>
  <si>
    <t>Deals diffused Physical damage to the target and surrounding Legions.
Damaged Legions receive 15% less healing for 3s.
Maximum targets: 3
Damage Factor: 600</t>
  </si>
  <si>
    <t>Skill Damage Factor 300/370/440/510/600
Healing received reduction 5%/7%/9%/12%/15%</t>
  </si>
  <si>
    <t>Druidic Teachings</t>
  </si>
  <si>
    <t>All Legions: Increases Gather Speed by 7% and Gold Gather Speed by an extra 15%.</t>
  </si>
  <si>
    <t>Gather Speed bonus 1%/2%/3%/4%/5%/7%(Awakened)
Gold Gather Speed bonus 4%/6%/8%/10%/12%/15%(Awakened)</t>
  </si>
  <si>
    <t>Feline Instincts</t>
  </si>
  <si>
    <t>Legion Infantry units gain 15% Physical ATK and deal 10% more Hero Skill damage.</t>
  </si>
  <si>
    <t>Infantry unit Physical ATK bonus 5%/7%/9%/12%/15%
Infantry unit Hero Skill damage dealt bonus 4%/5%/6%/8%/10%</t>
  </si>
  <si>
    <t>Shadow Ambush</t>
  </si>
  <si>
    <t>When the Legion launches a normal attack, they have a 10% chance to inflict Gloom on the target Legion, reducing the target's ATK by 20% for 5s.</t>
  </si>
  <si>
    <t>ATK reduction 8%/11%/14%/17%/20%</t>
  </si>
  <si>
    <t>Night Stalker</t>
  </si>
  <si>
    <t>Each time Naernin casts Black Claw, she gains 2% HP, up to a maximum of 10%. Effect lasts until her Legion joins or leaves a Rallied Army, or enters a Stronghold or Resource Point.</t>
  </si>
  <si>
    <t>Skyfury</t>
  </si>
  <si>
    <t>Summons lightning that follows the target Legion, dealing diffused Magic damage every 2s to the target Legion and 2 nearby enemy Legions (Damage Factor 450). Lightning also inflicts Numbness upon the target, reducing March Speed by 40% and increasing damage taken by 5% for 2s.</t>
  </si>
  <si>
    <t>Skill Damage Factor 200/250/300/370/450
March Speed reduction 20%/25%/30%/35%/40%
Target damage taken bonus 5%/7%/9%/12%/15%</t>
  </si>
  <si>
    <t>Forbidden Healing</t>
  </si>
  <si>
    <t>Each time their Hero Skills grants buffs or debuffs, the Hero's Legion has a 30% chance to gain healing (Healing Factor 120) and Vigor: HP +30% for 3s. This effect can be triggered up to 1 times per second.</t>
  </si>
  <si>
    <t>Healing Factor 40/60/80/100/120
HP bonus 10%/15%/20%/25%/30%</t>
  </si>
  <si>
    <t>Prayer of Lucia</t>
  </si>
  <si>
    <t>Magic Legions led by this Hero gain 30% Magic ATK and provide 20% more shields and healing.</t>
  </si>
  <si>
    <t>Magic unit ATK bonus 10%/15%/20%/25%/30%
Magic unit shield granted bonus 8%/11%/14%/17%/20%
Magic unit healing granted bonus 8%/11%/14%/17%/20%</t>
  </si>
  <si>
    <t>Thunderclap</t>
  </si>
  <si>
    <t>Each time summoned lightning deals damage while in the field, it has a 30% chance to deal extra diffused Magic damage to the target and enemiy Legion near the target (Damage Factor 450, 3 targets in total).</t>
  </si>
  <si>
    <t>Skill Damage Factor 250/300/350/400/450</t>
  </si>
  <si>
    <t>Thunderous Onslaught</t>
  </si>
  <si>
    <t>Before Awakening
Summons lightning that follows the target Legion, dealing diffused Magic damage every 2s to the target Legion and 2 nearby enemy Legions (Damage Factor 450). Lightning also inflicts Numbness upon the target, reducing March Speed by 40% and increasing damage taken by 5% for 2s.
After Awakening
Summons lightning that follows the target Legion, dealing diffused Magic damage every 2s to the target Legion and 2 nearby enemy Legions (Damage Factor 500). Lightning also inflicts Numbness upon the target, reducing March Speed by 40% and increasing damage taken by 5% for 2s.</t>
  </si>
  <si>
    <t>Sounds of Nature</t>
  </si>
  <si>
    <t>Deals Magic damage to the target Legion (Damage Factor 1600) and gains Rampage: damage dealt +15% for 5s.</t>
  </si>
  <si>
    <t>Skill Damage Factor 700/900/1100/1300/1600
Damage dealt bonus 5%/7%/9%/12%/15%</t>
  </si>
  <si>
    <t>Good Tidings</t>
  </si>
  <si>
    <t>When dealing Hero Skill damage, Legion gains Keen and Shelter: ATK and DEF +25% for 3s.</t>
  </si>
  <si>
    <t>ATK bonus 10%/13%/16%/20%/25%
DEF bonus 10%/13%/16%/20%/25%</t>
  </si>
  <si>
    <t>Blessing of Life</t>
  </si>
  <si>
    <t>Magic Legions led by this Hero deal 20% more Hero Skill damage and mitigate 20% of the enemy's ATK.</t>
  </si>
  <si>
    <t>Magic unit Hero Skill damage dealt bonus 8%/11%/14%/17%/20%
Enemy ATK resistance 8%/11%/14%/17%/20%</t>
  </si>
  <si>
    <t>Musical Inspiration</t>
  </si>
  <si>
    <t>When launching a Rally, Legion gains 10% Magic ATK, and when hit by a normal attack has a 20% chance to take 5% less normal attack damage (maximum 15%) for 5s.</t>
  </si>
  <si>
    <t>Protector's Hymn</t>
  </si>
  <si>
    <t>While in battle, Legion has a 10% chance to gain shield (Shield Factor 150) for 5s.</t>
  </si>
  <si>
    <t>Dragonhunter Arrow</t>
  </si>
  <si>
    <t>With every 3 normal attacks the Legion launches, it deals additional Physical damage (Damage Factor 550) and reduces the target Legion's ATK by 5% for 2s (max 3 stacks).</t>
  </si>
  <si>
    <t>Skill Damage Factor 250/320/400/470/550
Legion ATK reduction 1%/2%/3%/4%/5%</t>
  </si>
  <si>
    <t xml:space="preserve">Blue Blood </t>
  </si>
  <si>
    <t>When the Legion launches a rally, it ignores 10% of enemy HP, and has a 50% chance to increase its DEF by 20% for 3s whenever it takes Skill damage. This effect can trigger once every 5s.</t>
  </si>
  <si>
    <t>Enemy HP bypass 4%/5%/6%/8%/10%
Legion DEF bonus 8%/11%/14%/17%/20%</t>
  </si>
  <si>
    <t>Getaway Plan</t>
  </si>
  <si>
    <t>Marksman Legions deal 15% more normal attack damage and gain 20% HP and 10% March Speed.</t>
  </si>
  <si>
    <t>Marksman unit Hero Skill damage bonus 5%/7%/9%/12%/15%
Marksman unit HP bonus 8%/11%/14%/17%/20%
Marksman unit March Speed bonus 4%/5%/6%/8%/10%</t>
  </si>
  <si>
    <t>Explosive Potential</t>
  </si>
  <si>
    <t>On reaching 500, inflicts DEF Break upon the target for 15s, and gains Physical Keen for 15s.
DEF Break: DEF -10%
Physical Keen: Physical ATK +40%</t>
  </si>
  <si>
    <t>DEF reduction 4%/5%/6%/8%/10%
ATK bonus 15%/20%/26%/32%/40%</t>
  </si>
  <si>
    <t>Softness to Steel</t>
  </si>
  <si>
    <t>Before Awakening
With every 3 normal attacks the Legion launches, it deals additional Physical damage (Damage Factor 550) and reduces the target Legion's ATK by 5% for 2s (max 3 stacks).
After Awakening
With every 3 normal attacks the Legion launches, it deals additional Physical damage (Damage Factor 650) and reduces the target Legion's ATK by 5% for 2s (max 3 stacks).</t>
  </si>
  <si>
    <t>Public Punishment</t>
  </si>
  <si>
    <t>Fires a Penetring Bolt that deals Physical damage to the target Legion (Damage Factor 1300) and to another enemy Legion behind the target (Damage Factor = 300 + 50% of damage dealt to target). If there are no enemy Legions behind the target, deals additional Physical damage to the target Legion (Damage Factor 300).</t>
  </si>
  <si>
    <t>Skill Damage Factor 600/700/900/1100/1300
Skill Damage Factor 120/160/200/250/300
Additional Damage Factor 120/160/200/250/300</t>
  </si>
  <si>
    <t>Criminal Underworld</t>
  </si>
  <si>
    <t>While in the field, the Legion gains 15% DEF and 10% March Speed.
When Public Punishment deals damage, it also inflicts Slow: March Speed -20% for 3s.</t>
  </si>
  <si>
    <t>DEF bonus 5%/7%/9%/12%/15%
March Speed bonus 4%/5%/6%/8%/10%
March Speed reduction 8%/11%/14%/17%/20%</t>
  </si>
  <si>
    <t>Professional Principles</t>
  </si>
  <si>
    <t>Legion Marksman units gain 25% Physical ATK and take 10% less normal attack damage.</t>
  </si>
  <si>
    <t>Marksman unit ATK bonus 10%/13%/16%/20%/25%
Normal attack damage taken by Marksman units 4%/5%/6%/8%/10%</t>
  </si>
  <si>
    <t>Contract Killer</t>
  </si>
  <si>
    <t>Each time a Hero Skill inflicts a debuff effect in battle, the Legion deals 6% more damage via normal attacks or Public Punishment 10s, up to maximum of 20%.</t>
  </si>
  <si>
    <t>Normal attack damage dealt bonus 2%/3%/4%/5%/6%
Penetrating Bolt Damage Bonus 8%/11%/14%/17%/20%</t>
  </si>
  <si>
    <t>No More Talk</t>
  </si>
  <si>
    <t>When Falgrim's Legion launches a normal attack, it deals 20% more Hero Skill damage until the next time Falgrim casts Rage Skill. This effect can trigger once every 8s.</t>
  </si>
  <si>
    <t>Demon Tamer Fan</t>
  </si>
  <si>
    <t>Throws a Jade Demon Pellet at the target Legion, dealing damage (Damage Factor 1300) and reducing the reducing the target's healing recieved by 20% for 5s. The Jade Demon Pellet can be transmitted 2 times between enemy Legions; the pellet deals 40% less damage with each transmission.</t>
  </si>
  <si>
    <t>Skill Damage Factor 600/700/900/1100/1300
Healing received reduction 10%/12%/14%/17%/20%</t>
  </si>
  <si>
    <t>Miracle Cure</t>
  </si>
  <si>
    <t>After Mu Hsiang casts a Rage Skill, she heals 3 surrounding friendly Legions once (Healing Factor 100), and heals her own Legion every second for 3s (Healing Factor 150)</t>
  </si>
  <si>
    <t>Healing Factor 40/50/60/80/100
Healing Factor 50/70/90/120/150</t>
  </si>
  <si>
    <t>Food as Medicine</t>
  </si>
  <si>
    <t>Legion grants 10% more healing and gains 10% DEF and 20% ATK.</t>
  </si>
  <si>
    <t>Healing granted bonus 4%/5%/6%/8%/10%
Legion DEF bonus 4%/5%/6%/8%/10%
Legion ATK bonus 8%/11%/14%/17%/20%</t>
  </si>
  <si>
    <t>Field Surgery</t>
  </si>
  <si>
    <t>Whenever the Legion grants healing, it 1 stack of Healer's Mark.
Each stack increases damage dealt by 6% for 5s (max 3 stacks). This effect can trigger once per second.</t>
  </si>
  <si>
    <t>Damage Dealt bonus 2%/3%/4%/5%/6%</t>
  </si>
  <si>
    <t>Demon Tamer Fan (Awakened)</t>
  </si>
  <si>
    <t>Whenever the Legion launches a normal attack, it gains an additional 50 Rage and gains Keen: ATK +15% for 3s. This effect can trigger once every 10s.</t>
  </si>
  <si>
    <t>Exhaust Fumes</t>
  </si>
  <si>
    <t>Deals diffused damage to the target and 2 surrounding Legions in an arc (Damage Factor 1000). Each Legion hit gains 30 Rage.</t>
  </si>
  <si>
    <t>Skill Damage Factor 400/500/600/800/1000
Extra Rage gained 10/15/20/25/30</t>
  </si>
  <si>
    <t>Mechanized Army</t>
  </si>
  <si>
    <t>Legion ignores 10% of enemy ATK in the field. Flying Legions also gain 10% ATK and 20% March Speed.</t>
  </si>
  <si>
    <t>ATK Resistance 4%/5%/6%/8%/10%
ATK bonus 4%/5%/6%/8%/10%
March Speed bonus 8%/11%/14%/17%/20%</t>
  </si>
  <si>
    <t>Chief Machinist</t>
  </si>
  <si>
    <t>Legion gains 10% DEF.
Infantry units deal 15% more counterattack damages
Cavalry units deal 6% more damage
Marksman units deal 20% more normal attack damage
Magic units take 10% less damage.</t>
  </si>
  <si>
    <t>DEF bonus 4%/5%/6%/8%/10%
Infantry counterattack damage bonus 5%/7%/9%/12%/15%
Cavalry unit damage dealt bonus 2%/3%/4%/5%/6%
Marksman unit normal attack damage dealt bonus 8%/11%/14%/17%/20%
Magic unit damage taken reduction 4%/5%/6%/8%/10%</t>
  </si>
  <si>
    <t>Just You Wait!</t>
  </si>
  <si>
    <t>Upon taking damage, Legion loses 50% Rage, deals damage to the target Legion (Damage Factor 300), and gains Resistance: damage taken -10% for 5s.
Effect can trigger once every 15s.</t>
  </si>
  <si>
    <t>Skill Damage Factor 100/150/200/250/300
Damage taken reduction 4%/5%/6%/8%/10%</t>
  </si>
  <si>
    <t>Firelance</t>
  </si>
  <si>
    <t>After casting Exhaust Fumes, Legion gains normal attack Crit Rate +30% for 5s.</t>
  </si>
  <si>
    <t>Spearhead</t>
  </si>
  <si>
    <t>Deals Physical damage to the Target Legion (Damage Factor 1600) and gains 40 extra Rage every second for 5s.</t>
  </si>
  <si>
    <t>Skill Damage Factor 700/900/1100/1350/1600
Extra Rage gained 20/25/30/35/40</t>
  </si>
  <si>
    <t>Moonlight Blessing</t>
  </si>
  <si>
    <t>Legion ignores 10% of enemy HP. While in the field, if the Legion is not in battle, it becomes Camouflaged. When entering battle in a Camouflaged state, it ignores 20% of enemy HP for 10s.</t>
  </si>
  <si>
    <t>HP Bypass 4%/5%/6%/8%/10%
Additional HP Bypass 8%/10%/12%/16%/20%</t>
  </si>
  <si>
    <t>Frontline Commander</t>
  </si>
  <si>
    <t>Increases Legion Cavalry units Skill damage by 10%, HP by 10%, and March Speed by 10%.</t>
  </si>
  <si>
    <t>Skill Damage bonus 4%/5%/6%/8%/10%
HP bonus 4%/5%/6%/8%/10%
March Speed bonus 4%/5%/6%/8%/10%</t>
  </si>
  <si>
    <t>Relentless Advance</t>
  </si>
  <si>
    <t>Grants the Legion Keen for 10s every 15s during battle.
Keen: ATK +30%</t>
  </si>
  <si>
    <t>ATK bonus 10%/15%/20%/25%/30%</t>
  </si>
  <si>
    <t>Silverwood Lineage</t>
  </si>
  <si>
    <t>Before Awakening
Deals Physical damage to the Target Legion (Damage Factor 1600) and gains 40 extra Rage every second for 5s..
After Awakening
Deals Physical damage to the Target Legion (Damage Factor 1700) and gains 50 extra Rage every second for 5s.</t>
  </si>
  <si>
    <t>Scarlet Inferno</t>
  </si>
  <si>
    <t>Deals diffused damage to the target and 1 Legion near it and gains Passion: Rage Accumulation Speed +15% for 5s.
Damage Type: Physical
Damage Factor: 1500</t>
  </si>
  <si>
    <t>Skill Damage Factor 700/900/1100/1300/1500
Rage Accumulation Speed bonus 5%/7%/9%/12%/15%</t>
  </si>
  <si>
    <t>Lieh-Shan's Command</t>
  </si>
  <si>
    <t>Legion Cavalry units gain 20% Physical ATK and 10% DEF.</t>
  </si>
  <si>
    <t>Cavalry Physical ATK bonus 10%/12%/14%/16%/20%
Cavalry DEF bonus 4%/5%/6%/8%/10%</t>
  </si>
  <si>
    <t>Stars Aligned</t>
  </si>
  <si>
    <t>When the Legion enters battle or a Legion Hero casts a Rage Skill, increases Hero Skill damage by 30% for 4s.</t>
  </si>
  <si>
    <t>Hero Skill damage bonus 10%/15%/20%/25%/30%</t>
  </si>
  <si>
    <t>Ironclad Defense</t>
  </si>
  <si>
    <t>Increases the Garrisoned Army's HP by 5% and ignores 5% of the enemy DEF while garrisoned in a City or Stronghold.</t>
  </si>
  <si>
    <t>Garrisoned Army HP bonus 1%/2%/3%/4%/5%
DEF Penetration 1%/2%/3%/4%/5%</t>
  </si>
  <si>
    <t>Everblaze</t>
  </si>
  <si>
    <t>When the Legion gains a buff via Hero Skill, it ignores 30% of enemy ATK for 3s.
This effect can be triggered once every 5s.</t>
  </si>
  <si>
    <t>Drogho's Rage</t>
  </si>
  <si>
    <t>Randomly inflict one of the following effects upon the target Legion:
Disruption: Deals Physical damage (Damage Factor 1000)
Timidity: Inflicts DEF Break (DEF -50% for 5s)
Fall Apart: Deals diffused Physical damage to the target Legion and 2 surrounding Legions (Damage Factor 600)</t>
  </si>
  <si>
    <t>Skill Damage Factor 400/500/600/800/1000
DEF reduction 20%/25%/30%/40%/50%
Skill Damage Factor 200/300/400/500/600</t>
  </si>
  <si>
    <t>Renegade Zeal</t>
  </si>
  <si>
    <t>Each time the Legion gains a buff while in battle in the field, it gains an extra 100 Rage and Vigor (HP +20%) for 3s. This effect trigger once every 8s.</t>
  </si>
  <si>
    <t>Extra Rage gained 40/50/60/80/100
HP Bonus 5%/8%/11%/15%/20%</t>
  </si>
  <si>
    <t>Anxious Hunter</t>
  </si>
  <si>
    <t>The Legion's Cavalry units gain 10% March Speed and 20% ATK.</t>
  </si>
  <si>
    <t>Cavalry March Speed bonus 4%/5%/6%/8%/10%
Cavalry Physical ATK bonus 5%/8%/11%/15%/20%</t>
  </si>
  <si>
    <t>Broken Chains</t>
  </si>
  <si>
    <t>The Legion deals 10% more Skill damage and takes 5% less damage.</t>
  </si>
  <si>
    <t>Hero Skill damage dealt bonus 4%/5%/6%/8%/10%
Damage taken reduction 1%/2%/3%/4%/5%</t>
  </si>
  <si>
    <t>Wolfpack Pursuit</t>
  </si>
  <si>
    <t>After casting a Rage Skill, the Legion gains Keen (ATK +15%) for 5s.</t>
  </si>
  <si>
    <t>Joy of Battle</t>
  </si>
  <si>
    <t>Drains 20% of the target Legion's HP and 10% of the HP of enemy Legions near the target for 10s, then heals this Hero's Legion (Healing Factor 200).</t>
  </si>
  <si>
    <t>Drained Target Legion HP 10%/12%/14%/16%/20%
Drained Surrounding Legion HP 4%/5%/6%/8%/10%
Healing Factor 100/120/140/170/200</t>
  </si>
  <si>
    <t>Man-Eater</t>
  </si>
  <si>
    <t>The Legion heals once every 10s in battle (Healing Factor 50), and recevies extra healing according to its current Infantry HP bonus (Base Healing Factor 100).</t>
  </si>
  <si>
    <t>Healing Factor 25/30/35/40/50
Base Healing Factor 50/60/70/80/100</t>
  </si>
  <si>
    <t>Army of Exiles</t>
  </si>
  <si>
    <t>The Legion's Infantry units gain 15% Physical DEF and 15% ATK.</t>
  </si>
  <si>
    <t>Infantry Physical DEF bonus 5%/7%/9%/12%/15%
Infantry Physical ATK bonus 5%/7%/9%/12%/15%</t>
  </si>
  <si>
    <t>Glorious Death</t>
  </si>
  <si>
    <t>While in the field, this Hero's Legion gains 10% ATK for every nearby Legion that is in battle, up to a maximum of 100%. When this Hero's Legion defeated an enemy Legion, this Hero's Legion receives 20% more healing for 10s.</t>
  </si>
  <si>
    <t>ATK bonus 4%/5%/6%/8%/10%
Max ATK Bonus 40%/50%/60%/80%/100%
Healing received bonus 5%/8%/11%/15%/20%</t>
  </si>
  <si>
    <t>Champion Gladiator</t>
  </si>
  <si>
    <t>When granting a buff via an Innate Skill, the Legion gains 20% HP for 3s. Effect can trigger once every 5s.</t>
  </si>
  <si>
    <t>Comradeship</t>
  </si>
  <si>
    <t>Deals diffused Physical damage to the target Legion and nearby Legions (Damage Factor 1500, scales with Infantry HP bonus, 3 Legions total).</t>
  </si>
  <si>
    <t>Boisterous</t>
  </si>
  <si>
    <t>When besieging Cities or Strongholds, the Legion gains 5% DEF and ignores 5% of the enemy's ATK.</t>
  </si>
  <si>
    <t>DEF bonus 1%/2%/3%/4%/5%
ATK Resistance 1%/2%/3%/4%/5%</t>
  </si>
  <si>
    <t>To The Marrow</t>
  </si>
  <si>
    <t>The Legion's Infantry units gain 25% HP and take 25% less Skill damage.</t>
  </si>
  <si>
    <t>Infantry HP bonus 10%/13%/16%/20%/25%
Infantry unit Skill Damage taken reduction 10%/13%/16%/20%/25%</t>
  </si>
  <si>
    <t>Death Glare</t>
  </si>
  <si>
    <t>When hit with a normal attack, the Legion has 15% chance to gain 5% HP and deal 2% more damage for 5s (max 10 stacks).</t>
  </si>
  <si>
    <t>HP bonus 1%/2%/3%/4%/5%
Damage bonus 1%/1.25%/1.5%/1.75%/2%</t>
  </si>
  <si>
    <t>Before Awakening
Deals diffused Physical damage to the target Legion and nearby Legions (Damage Factor 1500, scales with Infantry HP bonus, 3 Legions total).
After Awakening
Deals diffused Physical damage to the target Legion and nearby Legions (Damage Factor 1700, scales with Infantry HP bonus, 3 Legions total).
This Hero's Legion also deals 20% more counterattack damage for 3s.</t>
  </si>
  <si>
    <t>name</t>
  </si>
  <si>
    <t>attribute</t>
  </si>
  <si>
    <t>talent</t>
  </si>
  <si>
    <t>petExclusive</t>
  </si>
  <si>
    <t>type</t>
  </si>
  <si>
    <t>Advanced Moonrage</t>
  </si>
  <si>
    <t>Strength</t>
  </si>
  <si>
    <t>Moonbear</t>
  </si>
  <si>
    <t>Physical</t>
  </si>
  <si>
    <t>Advanced Arrogance</t>
  </si>
  <si>
    <t>Berserk Faedrake</t>
  </si>
  <si>
    <t>Advanced Barbarism</t>
  </si>
  <si>
    <t>Shadow Manticore</t>
  </si>
  <si>
    <t>Advanced Chain Strike</t>
  </si>
  <si>
    <t>Advanced Concentration</t>
  </si>
  <si>
    <t>Luck</t>
  </si>
  <si>
    <t>Snowpeak Roc</t>
  </si>
  <si>
    <t>Advanced Counterstrike</t>
  </si>
  <si>
    <t>Advanced Exuberance</t>
  </si>
  <si>
    <t>Golden Roc</t>
  </si>
  <si>
    <t>Advanced Fierce Attack</t>
  </si>
  <si>
    <t>Advanced Follow-Up</t>
  </si>
  <si>
    <t>Advanced Friendship</t>
  </si>
  <si>
    <t>Stripebear</t>
  </si>
  <si>
    <t>Advanced Frost Armor</t>
  </si>
  <si>
    <t>Frostbear</t>
  </si>
  <si>
    <t>Advanced Gleaming Blade</t>
  </si>
  <si>
    <t>Blade Manticore</t>
  </si>
  <si>
    <t>Advanced Icecore</t>
  </si>
  <si>
    <t>Spirit</t>
  </si>
  <si>
    <t>Ice Lizard</t>
  </si>
  <si>
    <t>Advanced Infection</t>
  </si>
  <si>
    <t>Venomous Lizard</t>
  </si>
  <si>
    <t>Advanced Painbloom</t>
  </si>
  <si>
    <t>Sapphire Faedrake</t>
  </si>
  <si>
    <t>Advanced Quickening</t>
  </si>
  <si>
    <t>Bruinbear</t>
  </si>
  <si>
    <t>Advanced Ravage</t>
  </si>
  <si>
    <t>Night Roc</t>
  </si>
  <si>
    <t>Advanced Shadow Hunter</t>
  </si>
  <si>
    <t>Shadow Faedrake</t>
  </si>
  <si>
    <t>Advanced Soul Source</t>
  </si>
  <si>
    <t>Intelligence</t>
  </si>
  <si>
    <t>Seraphic Faedrake</t>
  </si>
  <si>
    <t>Advanced Stone Aura</t>
  </si>
  <si>
    <t>Sand Lizard</t>
  </si>
  <si>
    <t>Advanced Tempest</t>
  </si>
  <si>
    <t>Thunder Lizard</t>
  </si>
  <si>
    <t>Advaned Puncture</t>
  </si>
  <si>
    <t>Barbed Manticore</t>
  </si>
  <si>
    <t>Angry Roar</t>
  </si>
  <si>
    <t>Barbarism</t>
  </si>
  <si>
    <t>Blood Roar</t>
  </si>
  <si>
    <t>Chain Strike</t>
  </si>
  <si>
    <t>Counterstrike</t>
  </si>
  <si>
    <t>Endurance</t>
  </si>
  <si>
    <t>Dauntless</t>
  </si>
  <si>
    <t>Determined Heart</t>
  </si>
  <si>
    <t>Divine Blessing</t>
  </si>
  <si>
    <t>Elemental Harmony</t>
  </si>
  <si>
    <t>Exuberance</t>
  </si>
  <si>
    <t>Fatal Bite</t>
  </si>
  <si>
    <t>Fierce Attack</t>
  </si>
  <si>
    <t>Follow-Up</t>
  </si>
  <si>
    <t>Friendship</t>
  </si>
  <si>
    <t>Frost Armor</t>
  </si>
  <si>
    <t>Gleaming Blade</t>
  </si>
  <si>
    <t>Great Care</t>
  </si>
  <si>
    <t>Heart Wall</t>
  </si>
  <si>
    <t>Icecore</t>
  </si>
  <si>
    <t>Infection</t>
  </si>
  <si>
    <t>Intense Arrogance</t>
  </si>
  <si>
    <t>Intense Barbarism</t>
  </si>
  <si>
    <t>Intense Chain Strike</t>
  </si>
  <si>
    <t>Intense Concentration</t>
  </si>
  <si>
    <t>Intense Counterstrike</t>
  </si>
  <si>
    <t>Intense Exuberance</t>
  </si>
  <si>
    <t>Intense Fierce Attack</t>
  </si>
  <si>
    <t>Intense Follow-Up</t>
  </si>
  <si>
    <t>Intense Friendship</t>
  </si>
  <si>
    <t>Intense Frost Armor</t>
  </si>
  <si>
    <t>Intense Gleaming Blade</t>
  </si>
  <si>
    <t>Intense Icecore</t>
  </si>
  <si>
    <t>Intense Infection</t>
  </si>
  <si>
    <t>Intense Moonrage</t>
  </si>
  <si>
    <t>Intense Painbloom</t>
  </si>
  <si>
    <t>Intense Puncture</t>
  </si>
  <si>
    <t>Intense Quickening</t>
  </si>
  <si>
    <t>Intense Ravage</t>
  </si>
  <si>
    <t>Intense Shadow Hunter</t>
  </si>
  <si>
    <t>Intense Soul Source</t>
  </si>
  <si>
    <t>Intense Stone Aura</t>
  </si>
  <si>
    <t>Magic Fortune</t>
  </si>
  <si>
    <t>Magic Spirits</t>
  </si>
  <si>
    <t>Moonrage</t>
  </si>
  <si>
    <t>Outbursts of Rage</t>
  </si>
  <si>
    <t>Painbloom</t>
  </si>
  <si>
    <t>Puncture</t>
  </si>
  <si>
    <t>Quickening</t>
  </si>
  <si>
    <t>Ravage</t>
  </si>
  <si>
    <t>Resonance</t>
  </si>
  <si>
    <t>Shadow Hunter</t>
  </si>
  <si>
    <t>Soul Source</t>
  </si>
  <si>
    <t>Stone Aura</t>
  </si>
  <si>
    <t>Tempest</t>
  </si>
  <si>
    <t>Tooth and Claw</t>
  </si>
  <si>
    <t>Tranquility</t>
  </si>
  <si>
    <t>Cost 1</t>
  </si>
  <si>
    <t>Cost 2</t>
  </si>
  <si>
    <t>Cost 3</t>
  </si>
  <si>
    <t>Cost 4</t>
  </si>
  <si>
    <t>Manic Might</t>
  </si>
  <si>
    <t>Hit Weakness</t>
  </si>
  <si>
    <t>Beast Mark</t>
  </si>
  <si>
    <t>Swift Revenge</t>
  </si>
  <si>
    <t>Shieldbreaker</t>
  </si>
  <si>
    <t>Wild Agility</t>
  </si>
  <si>
    <t>Poison Gland</t>
  </si>
  <si>
    <t>Timely Strike</t>
  </si>
  <si>
    <t>Blood for Blood</t>
  </si>
  <si>
    <t>Pursuit Predation</t>
  </si>
  <si>
    <t>Sudden Epiphany</t>
  </si>
  <si>
    <t>Magic Pulse</t>
  </si>
  <si>
    <t>Terra Barrier</t>
  </si>
  <si>
    <t>Bristles</t>
  </si>
  <si>
    <t>Robust Body</t>
  </si>
  <si>
    <t>Pure Strength</t>
  </si>
  <si>
    <t>Gentle Breeze</t>
  </si>
  <si>
    <t>Eviscerate</t>
  </si>
  <si>
    <t>Hit Back</t>
  </si>
  <si>
    <t>Track and Hunt</t>
  </si>
  <si>
    <t>Light's Guidance</t>
  </si>
  <si>
    <t>Interruption</t>
  </si>
  <si>
    <t>legionStats</t>
  </si>
  <si>
    <t>value0</t>
  </si>
  <si>
    <t>value1</t>
  </si>
  <si>
    <t>value2</t>
  </si>
  <si>
    <t>value3</t>
  </si>
  <si>
    <t>Duration</t>
  </si>
  <si>
    <t>Behemots</t>
  </si>
  <si>
    <t>Seasonnal Feature</t>
  </si>
  <si>
    <t>Pass</t>
  </si>
  <si>
    <t>Merits Store</t>
  </si>
  <si>
    <t>Statue</t>
  </si>
  <si>
    <t>Golden Dreams</t>
  </si>
  <si>
    <t>Giant Bear</t>
  </si>
  <si>
    <t>1st Monolith Slot</t>
  </si>
  <si>
    <t>End of Indecision</t>
  </si>
  <si>
    <t>Miasma Giant</t>
  </si>
  <si>
    <t>Secrets of Decay</t>
  </si>
  <si>
    <t>Basic</t>
  </si>
  <si>
    <t>Star of Hope</t>
  </si>
  <si>
    <t>The Time Is Now</t>
  </si>
  <si>
    <t>Thunder Roc</t>
  </si>
  <si>
    <t>2nd Monolith Slot</t>
  </si>
  <si>
    <t>Great Deeds</t>
  </si>
  <si>
    <t>Chest of Desire</t>
  </si>
  <si>
    <t>Silent Celebration</t>
  </si>
  <si>
    <t>Hydra</t>
  </si>
  <si>
    <t>3rd Monolith Slot</t>
  </si>
  <si>
    <t>Conspiracy</t>
  </si>
  <si>
    <t>Standard</t>
  </si>
  <si>
    <t>War and Peace</t>
  </si>
  <si>
    <t>4th Monolith Slot</t>
  </si>
  <si>
    <t>Supreme</t>
  </si>
  <si>
    <t>Ember of Hope</t>
  </si>
  <si>
    <t>Unparalleled Bravery</t>
  </si>
  <si>
    <t>Necrogiant</t>
  </si>
  <si>
    <t>5th Monolith Slot</t>
  </si>
  <si>
    <t>Salvation</t>
  </si>
  <si>
    <t>Premium</t>
  </si>
  <si>
    <t>Motherland's Call</t>
  </si>
  <si>
    <t>Swords Into Plowshares</t>
  </si>
  <si>
    <t>Peaks and Valleys</t>
  </si>
  <si>
    <t>Flame Dragon</t>
  </si>
  <si>
    <t>Garlands of Praise</t>
  </si>
  <si>
    <t>Hearts Towards Dawn</t>
  </si>
  <si>
    <t>Magma Daemon</t>
  </si>
  <si>
    <t>Unscarred</t>
  </si>
  <si>
    <t>2 Opened</t>
  </si>
  <si>
    <t>A Worth Claim</t>
  </si>
  <si>
    <t>New Dawn</t>
  </si>
  <si>
    <t>duration</t>
  </si>
  <si>
    <t>behemots</t>
  </si>
  <si>
    <t>seasonnalFeature</t>
  </si>
  <si>
    <t>pass</t>
  </si>
  <si>
    <t>meritStore</t>
  </si>
  <si>
    <t>statue</t>
  </si>
  <si>
    <t>Runic</t>
  </si>
  <si>
    <t>Frost Giant</t>
  </si>
  <si>
    <t>3 Proficiency Points</t>
  </si>
  <si>
    <t>Land of Ice and Snow</t>
  </si>
  <si>
    <t>Cosmic Roc</t>
  </si>
  <si>
    <t>An Invite From Beyond</t>
  </si>
  <si>
    <t>Charybdis</t>
  </si>
  <si>
    <t>Raging Waves</t>
  </si>
  <si>
    <t>4 Proficiency Points</t>
  </si>
  <si>
    <t>Frost Dragon</t>
  </si>
  <si>
    <t>Winter's King</t>
  </si>
  <si>
    <t>Hearts Toward Dawn</t>
  </si>
  <si>
    <t>summary</t>
  </si>
  <si>
    <t>Giant</t>
  </si>
  <si>
    <t>The Rockface</t>
  </si>
  <si>
    <t>War in the Wilderness</t>
  </si>
  <si>
    <t>Gear-Sentry</t>
  </si>
  <si>
    <t>Path of the Shura</t>
  </si>
  <si>
    <t>Mid-Season</t>
  </si>
  <si>
    <t>Peak and Valleys</t>
  </si>
  <si>
    <t>Eternal Watch</t>
  </si>
  <si>
    <t>Swords Into Plowshare</t>
  </si>
  <si>
    <t>Shadow Dragon</t>
  </si>
  <si>
    <t>Rage of Shadows</t>
  </si>
  <si>
    <t>Late-Season</t>
  </si>
  <si>
    <t>Dire Bear</t>
  </si>
  <si>
    <t>2 Talent Points</t>
  </si>
  <si>
    <t>The Beast</t>
  </si>
  <si>
    <t>3 Talent Points</t>
  </si>
  <si>
    <t>4 Talent Points</t>
  </si>
  <si>
    <t>Scaling the Heights</t>
  </si>
  <si>
    <t>Swords into Plowshares</t>
  </si>
  <si>
    <t>Magma Demon</t>
  </si>
  <si>
    <t>5 Opened</t>
  </si>
  <si>
    <t>Artifacts Variants (Control)</t>
  </si>
  <si>
    <t>Artifacts Variants (Support)</t>
  </si>
  <si>
    <t>Artifacts Variants (Tank)</t>
  </si>
  <si>
    <t>Artifacts Variants (Utility)</t>
  </si>
  <si>
    <t>Flamea</t>
  </si>
  <si>
    <t>Burning Hearts</t>
  </si>
  <si>
    <t>Modulo jour ?</t>
  </si>
  <si>
    <t>Start Date</t>
  </si>
  <si>
    <t>End Date</t>
  </si>
  <si>
    <t>A</t>
  </si>
  <si>
    <t>B</t>
  </si>
  <si>
    <t>C</t>
  </si>
  <si>
    <t>Trial of Light</t>
  </si>
  <si>
    <t>Smash the Shadows (pas sûr)</t>
  </si>
  <si>
    <t>SLE (Range)</t>
  </si>
  <si>
    <t>Celestial Battlegrounds</t>
  </si>
  <si>
    <t>| The Jacx</t>
  </si>
  <si>
    <t>Wheel Range</t>
  </si>
  <si>
    <t>|</t>
  </si>
  <si>
    <t>Alliance Mobilization</t>
  </si>
  <si>
    <t>ou le 8</t>
  </si>
  <si>
    <t>Crucible of Courage</t>
  </si>
  <si>
    <t>Battle Abyss</t>
  </si>
  <si>
    <t>Behemot Raids</t>
  </si>
  <si>
    <t>Crucible</t>
  </si>
  <si>
    <t>Breaking Through</t>
  </si>
  <si>
    <t>Roots of War</t>
  </si>
  <si>
    <t>Forge of Light (Range)</t>
  </si>
  <si>
    <t>BACK TO HK</t>
  </si>
  <si>
    <t>Smash the Shadows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</si>
</sst>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lt;999950]0.00,&quot;K&quot;;[&lt;999950000]0.00,,&quot;M&quot;;0.00,,,&quot;B&quot;"/>
    <numFmt numFmtId="165" formatCode="[&lt;999950]0.0000,&quot;K&quot;;[&lt;999950000]0.0000,,&quot;M&quot;;0.0000,,,&quot;B&quot;"/>
    <numFmt numFmtId="166" formatCode="[&lt;999950]0.0,&quot;K&quot;;[&lt;999950000]0.0,,&quot;M&quot;;0.0,,,&quot;B&quot;"/>
    <numFmt numFmtId="167" formatCode="dd/mm/yyyy hh:mm"/>
    <numFmt numFmtId="168" formatCode="dd/mm/yyyy hh:mm:ss"/>
    <numFmt numFmtId="169" formatCode="0.0"/>
    <numFmt numFmtId="170" formatCode="#,##0.0"/>
    <numFmt numFmtId="171" formatCode="#,##0.00\ [$€-1]"/>
    <numFmt numFmtId="172" formatCode="dd/mm/yyyy"/>
  </numFmts>
  <fonts count="18">
    <font>
      <sz val="10.0"/>
      <color rgb="FF000000"/>
      <name val="Arial"/>
      <scheme val="minor"/>
    </font>
    <font>
      <b/>
      <color theme="1"/>
      <name val="Arial"/>
      <scheme val="minor"/>
    </font>
    <font>
      <color theme="1"/>
      <name val="Arial"/>
      <scheme val="minor"/>
    </font>
    <font>
      <color rgb="FF000000"/>
      <name val="Arial"/>
      <scheme val="minor"/>
    </font>
    <font>
      <color rgb="FF000000"/>
      <name val="Arial"/>
    </font>
    <font>
      <color rgb="FF1D1F20"/>
      <name val="Arial"/>
      <scheme val="minor"/>
    </font>
    <font>
      <b/>
      <color rgb="FF1D1F20"/>
      <name val="Arial"/>
      <scheme val="minor"/>
    </font>
    <font>
      <b/>
      <sz val="12.0"/>
      <color rgb="FF1D1F20"/>
      <name val="Arial"/>
      <scheme val="minor"/>
    </font>
    <font>
      <sz val="10.0"/>
      <color theme="1"/>
      <name val="Arial"/>
      <scheme val="minor"/>
    </font>
    <font>
      <b/>
      <color rgb="FFFFFFFF"/>
      <name val="Arial"/>
      <scheme val="minor"/>
    </font>
    <font>
      <b/>
      <sz val="13.0"/>
      <color rgb="FFFFFFFF"/>
      <name val="Arial"/>
      <scheme val="minor"/>
    </font>
    <font/>
    <font>
      <b/>
      <color rgb="FF181A1B"/>
      <name val="Arial"/>
      <scheme val="minor"/>
    </font>
    <font>
      <color rgb="FF181A1B"/>
      <name val="Arial"/>
      <scheme val="minor"/>
    </font>
    <font>
      <b/>
      <sz val="14.0"/>
      <color rgb="FF1D1F20"/>
      <name val="Arial"/>
      <scheme val="minor"/>
    </font>
    <font>
      <color theme="1"/>
      <name val="Arial"/>
    </font>
    <font>
      <color rgb="FF1D1F20"/>
      <name val="Arial"/>
    </font>
    <font>
      <b/>
      <color rgb="FF000000"/>
      <name val="Arial"/>
      <scheme val="minor"/>
    </font>
  </fonts>
  <fills count="20">
    <fill>
      <patternFill patternType="none"/>
    </fill>
    <fill>
      <patternFill patternType="lightGray"/>
    </fill>
    <fill>
      <patternFill patternType="solid">
        <fgColor rgb="FF6FA8DC"/>
        <bgColor rgb="FF6FA8DC"/>
      </patternFill>
    </fill>
    <fill>
      <patternFill patternType="solid">
        <fgColor rgb="FFB7B7B7"/>
        <bgColor rgb="FFB7B7B7"/>
      </patternFill>
    </fill>
    <fill>
      <patternFill patternType="solid">
        <fgColor rgb="FF93C47D"/>
        <bgColor rgb="FF93C47D"/>
      </patternFill>
    </fill>
    <fill>
      <patternFill patternType="solid">
        <fgColor rgb="FFDD7E6B"/>
        <bgColor rgb="FFDD7E6B"/>
      </patternFill>
    </fill>
    <fill>
      <patternFill patternType="solid">
        <fgColor rgb="FFD5A6BD"/>
        <bgColor rgb="FFD5A6BD"/>
      </patternFill>
    </fill>
    <fill>
      <patternFill patternType="solid">
        <fgColor rgb="FFF3F3F3"/>
        <bgColor rgb="FFF3F3F3"/>
      </patternFill>
    </fill>
    <fill>
      <patternFill patternType="solid">
        <fgColor rgb="FF8E7CC3"/>
        <bgColor rgb="FF8E7CC3"/>
      </patternFill>
    </fill>
    <fill>
      <patternFill patternType="solid">
        <fgColor rgb="FFD9D2E9"/>
        <bgColor rgb="FFD9D2E9"/>
      </patternFill>
    </fill>
    <fill>
      <patternFill patternType="solid">
        <fgColor rgb="FF3C78D8"/>
        <bgColor rgb="FF3C78D8"/>
      </patternFill>
    </fill>
    <fill>
      <patternFill patternType="solid">
        <fgColor rgb="FFA4C2F4"/>
        <bgColor rgb="FFA4C2F4"/>
      </patternFill>
    </fill>
    <fill>
      <patternFill patternType="solid">
        <fgColor rgb="FFB4A7D6"/>
        <bgColor rgb="FFB4A7D6"/>
      </patternFill>
    </fill>
    <fill>
      <patternFill patternType="solid">
        <fgColor rgb="FF9FC5E8"/>
        <bgColor rgb="FF9FC5E8"/>
      </patternFill>
    </fill>
    <fill>
      <patternFill patternType="solid">
        <fgColor rgb="FFB6D7A8"/>
        <bgColor rgb="FFB6D7A8"/>
      </patternFill>
    </fill>
    <fill>
      <patternFill patternType="solid">
        <fgColor rgb="FF274E13"/>
        <bgColor rgb="FF274E13"/>
      </patternFill>
    </fill>
    <fill>
      <patternFill patternType="solid">
        <fgColor rgb="FF6AA84F"/>
        <bgColor rgb="FF6AA84F"/>
      </patternFill>
    </fill>
    <fill>
      <patternFill patternType="solid">
        <fgColor rgb="FF674EA7"/>
        <bgColor rgb="FF674EA7"/>
      </patternFill>
    </fill>
    <fill>
      <patternFill patternType="solid">
        <fgColor rgb="FF999999"/>
        <bgColor rgb="FF999999"/>
      </patternFill>
    </fill>
    <fill>
      <patternFill patternType="solid">
        <fgColor rgb="FFFFFFFF"/>
        <bgColor rgb="FFFFFFFF"/>
      </patternFill>
    </fill>
  </fills>
  <borders count="14">
    <border/>
    <border>
      <right style="thin">
        <color rgb="FF000000"/>
      </right>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0" fillId="3" fontId="1" numFmtId="0" xfId="0" applyAlignment="1" applyFill="1" applyFont="1">
      <alignment readingOrder="0"/>
    </xf>
    <xf borderId="0" fillId="3" fontId="1" numFmtId="0" xfId="0" applyAlignment="1" applyFont="1">
      <alignment horizontal="center" readingOrder="0"/>
    </xf>
    <xf borderId="0" fillId="3" fontId="1" numFmtId="0" xfId="0" applyFont="1"/>
    <xf borderId="0" fillId="4" fontId="2" numFmtId="9" xfId="0" applyFill="1" applyFont="1" applyNumberFormat="1"/>
    <xf borderId="0" fillId="4" fontId="2" numFmtId="0" xfId="0" applyFont="1"/>
    <xf borderId="1" fillId="4" fontId="2" numFmtId="0" xfId="0" applyBorder="1" applyFont="1"/>
    <xf borderId="0" fillId="4" fontId="2" numFmtId="3" xfId="0" applyFont="1" applyNumberFormat="1"/>
    <xf borderId="0" fillId="3" fontId="2" numFmtId="0" xfId="0" applyFont="1"/>
    <xf borderId="0" fillId="4" fontId="2" numFmtId="0" xfId="0" applyAlignment="1" applyFont="1">
      <alignment readingOrder="0"/>
    </xf>
    <xf borderId="0" fillId="4" fontId="2" numFmtId="9" xfId="0" applyAlignment="1" applyFont="1" applyNumberFormat="1">
      <alignment readingOrder="0"/>
    </xf>
    <xf borderId="1" fillId="4" fontId="2" numFmtId="0" xfId="0" applyAlignment="1" applyBorder="1" applyFont="1">
      <alignment readingOrder="0"/>
    </xf>
    <xf borderId="0" fillId="4" fontId="2" numFmtId="3" xfId="0" applyAlignment="1" applyFont="1" applyNumberFormat="1">
      <alignment readingOrder="0"/>
    </xf>
    <xf borderId="0" fillId="5" fontId="3" numFmtId="0" xfId="0" applyAlignment="1" applyFill="1" applyFont="1">
      <alignment readingOrder="0"/>
    </xf>
    <xf borderId="0" fillId="3" fontId="2" numFmtId="0" xfId="0" applyAlignment="1" applyFont="1">
      <alignment readingOrder="0"/>
    </xf>
    <xf borderId="0" fillId="6" fontId="1" numFmtId="0" xfId="0" applyAlignment="1" applyFill="1" applyFont="1">
      <alignment readingOrder="0"/>
    </xf>
    <xf borderId="2" fillId="3" fontId="1" numFmtId="0" xfId="0" applyAlignment="1" applyBorder="1" applyFont="1">
      <alignment readingOrder="0"/>
    </xf>
    <xf borderId="2" fillId="3" fontId="1" numFmtId="0" xfId="0" applyAlignment="1" applyBorder="1" applyFont="1">
      <alignment horizontal="center" readingOrder="0"/>
    </xf>
    <xf borderId="2" fillId="3" fontId="1" numFmtId="0" xfId="0" applyBorder="1" applyFont="1"/>
    <xf borderId="2" fillId="4" fontId="2" numFmtId="9" xfId="0" applyBorder="1" applyFont="1" applyNumberFormat="1"/>
    <xf borderId="2" fillId="4" fontId="2" numFmtId="0" xfId="0" applyBorder="1" applyFont="1"/>
    <xf borderId="3" fillId="4" fontId="2" numFmtId="0" xfId="0" applyBorder="1" applyFont="1"/>
    <xf borderId="2" fillId="4" fontId="2" numFmtId="3" xfId="0" applyBorder="1" applyFont="1" applyNumberFormat="1"/>
    <xf borderId="2" fillId="3" fontId="2" numFmtId="0" xfId="0" applyBorder="1" applyFont="1"/>
    <xf borderId="0" fillId="4" fontId="4" numFmtId="3" xfId="0" applyAlignment="1" applyFont="1" applyNumberFormat="1">
      <alignment horizontal="left" readingOrder="0"/>
    </xf>
    <xf borderId="0" fillId="0" fontId="1" numFmtId="0" xfId="0" applyFont="1"/>
    <xf borderId="0" fillId="0" fontId="2" numFmtId="0" xfId="0" applyAlignment="1" applyFont="1">
      <alignment horizontal="center"/>
    </xf>
    <xf borderId="0" fillId="0" fontId="2" numFmtId="9" xfId="0" applyFont="1" applyNumberFormat="1"/>
    <xf borderId="0" fillId="0" fontId="5" numFmtId="0" xfId="0" applyAlignment="1" applyFont="1">
      <alignment readingOrder="0"/>
    </xf>
    <xf borderId="0" fillId="0" fontId="2" numFmtId="0" xfId="0" applyAlignment="1" applyFont="1">
      <alignment horizontal="center" readingOrder="0"/>
    </xf>
    <xf borderId="0" fillId="0" fontId="1" numFmtId="0" xfId="0" applyAlignment="1" applyFont="1">
      <alignment horizontal="center" readingOrder="0"/>
    </xf>
    <xf borderId="0" fillId="0" fontId="2" numFmtId="0" xfId="0" applyFont="1"/>
    <xf borderId="0" fillId="7" fontId="6" numFmtId="0" xfId="0" applyAlignment="1" applyFill="1" applyFont="1">
      <alignment readingOrder="0"/>
    </xf>
    <xf borderId="0" fillId="0" fontId="6" numFmtId="0" xfId="0" applyAlignment="1" applyFont="1">
      <alignment readingOrder="0"/>
    </xf>
    <xf borderId="0" fillId="8" fontId="7" numFmtId="0" xfId="0" applyAlignment="1" applyFill="1" applyFont="1">
      <alignment readingOrder="0"/>
    </xf>
    <xf borderId="0" fillId="9" fontId="5" numFmtId="164" xfId="0" applyAlignment="1" applyFill="1" applyFont="1" applyNumberFormat="1">
      <alignment readingOrder="0"/>
    </xf>
    <xf borderId="0" fillId="9" fontId="8" numFmtId="3" xfId="0" applyFont="1" applyNumberFormat="1"/>
    <xf borderId="0" fillId="10" fontId="7" numFmtId="0" xfId="0" applyAlignment="1" applyFill="1" applyFont="1">
      <alignment readingOrder="0"/>
    </xf>
    <xf borderId="0" fillId="11" fontId="5" numFmtId="164" xfId="0" applyAlignment="1" applyFill="1" applyFont="1" applyNumberFormat="1">
      <alignment readingOrder="0"/>
    </xf>
    <xf borderId="0" fillId="11" fontId="8" numFmtId="3" xfId="0" applyFont="1" applyNumberFormat="1"/>
    <xf borderId="0" fillId="0" fontId="2" numFmtId="0" xfId="0" applyAlignment="1" applyFont="1">
      <alignment readingOrder="0"/>
    </xf>
    <xf borderId="0" fillId="0" fontId="2" numFmtId="165" xfId="0" applyFont="1" applyNumberFormat="1"/>
    <xf borderId="0" fillId="0" fontId="2" numFmtId="166" xfId="0" applyFont="1" applyNumberFormat="1"/>
    <xf borderId="0" fillId="0" fontId="2" numFmtId="1" xfId="0" applyFont="1" applyNumberFormat="1"/>
    <xf borderId="0" fillId="0" fontId="2" numFmtId="166" xfId="0" applyAlignment="1" applyFont="1" applyNumberFormat="1">
      <alignment readingOrder="0"/>
    </xf>
    <xf borderId="0" fillId="8" fontId="9" numFmtId="0" xfId="0" applyAlignment="1" applyFont="1">
      <alignment readingOrder="0"/>
    </xf>
    <xf borderId="0" fillId="12" fontId="2" numFmtId="0" xfId="0" applyAlignment="1" applyFill="1" applyFont="1">
      <alignment readingOrder="0"/>
    </xf>
    <xf borderId="0" fillId="9" fontId="1" numFmtId="0" xfId="0" applyAlignment="1" applyFont="1">
      <alignment readingOrder="0"/>
    </xf>
    <xf borderId="0" fillId="9" fontId="2" numFmtId="0" xfId="0" applyFont="1"/>
    <xf borderId="0" fillId="12" fontId="2" numFmtId="0" xfId="0" applyFont="1"/>
    <xf borderId="0" fillId="13" fontId="2" numFmtId="0" xfId="0" applyAlignment="1" applyFill="1" applyFont="1">
      <alignment readingOrder="0"/>
    </xf>
    <xf borderId="0" fillId="13" fontId="2" numFmtId="0" xfId="0" applyFont="1"/>
    <xf borderId="0" fillId="14" fontId="1" numFmtId="0" xfId="0" applyFill="1" applyFont="1"/>
    <xf borderId="0" fillId="2" fontId="1" numFmtId="0" xfId="0" applyAlignment="1" applyFont="1">
      <alignment horizontal="right" readingOrder="0"/>
    </xf>
    <xf borderId="0" fillId="13" fontId="1" numFmtId="0" xfId="0" applyAlignment="1" applyFont="1">
      <alignment horizontal="center"/>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7" xfId="0" applyFont="1" applyNumberFormat="1"/>
    <xf borderId="0" fillId="0" fontId="2" numFmtId="168" xfId="0" applyFont="1" applyNumberFormat="1"/>
    <xf borderId="0" fillId="0" fontId="2" numFmtId="3" xfId="0" applyAlignment="1" applyFont="1" applyNumberFormat="1">
      <alignment readingOrder="0"/>
    </xf>
    <xf borderId="0" fillId="15" fontId="10" numFmtId="0" xfId="0" applyAlignment="1" applyFill="1" applyFont="1">
      <alignment horizontal="center" readingOrder="0"/>
    </xf>
    <xf borderId="4" fillId="16" fontId="9" numFmtId="0" xfId="0" applyAlignment="1" applyBorder="1" applyFill="1" applyFont="1">
      <alignment horizontal="right" readingOrder="0"/>
    </xf>
    <xf borderId="5" fillId="16" fontId="9" numFmtId="0" xfId="0" applyAlignment="1" applyBorder="1" applyFont="1">
      <alignment horizontal="center" readingOrder="0"/>
    </xf>
    <xf borderId="6" fillId="16" fontId="9" numFmtId="0" xfId="0" applyAlignment="1" applyBorder="1" applyFont="1">
      <alignment horizontal="center" readingOrder="0"/>
    </xf>
    <xf borderId="0" fillId="4" fontId="5" numFmtId="0" xfId="0" applyAlignment="1" applyFont="1">
      <alignment readingOrder="0"/>
    </xf>
    <xf borderId="7" fillId="4" fontId="1" numFmtId="0" xfId="0" applyBorder="1" applyFont="1"/>
    <xf borderId="8" fillId="4" fontId="2" numFmtId="0" xfId="0" applyAlignment="1" applyBorder="1" applyFont="1">
      <alignment readingOrder="0"/>
    </xf>
    <xf borderId="4" fillId="4" fontId="1" numFmtId="0" xfId="0" applyBorder="1" applyFont="1"/>
    <xf borderId="9" fillId="17" fontId="10" numFmtId="0" xfId="0" applyAlignment="1" applyBorder="1" applyFill="1" applyFont="1">
      <alignment horizontal="center" readingOrder="0"/>
    </xf>
    <xf borderId="8" fillId="0" fontId="11" numFmtId="0" xfId="0" applyBorder="1" applyFont="1"/>
    <xf borderId="10" fillId="0" fontId="11" numFmtId="0" xfId="0" applyBorder="1" applyFont="1"/>
    <xf borderId="0" fillId="17" fontId="2" numFmtId="0" xfId="0" applyAlignment="1" applyFont="1">
      <alignment readingOrder="0"/>
    </xf>
    <xf borderId="11" fillId="8" fontId="9" numFmtId="0" xfId="0" applyAlignment="1" applyBorder="1" applyFont="1">
      <alignment readingOrder="0"/>
    </xf>
    <xf borderId="5" fillId="8" fontId="9" numFmtId="0" xfId="0" applyAlignment="1" applyBorder="1" applyFont="1">
      <alignment readingOrder="0"/>
    </xf>
    <xf borderId="12" fillId="8" fontId="9" numFmtId="0" xfId="0" applyAlignment="1" applyBorder="1" applyFont="1">
      <alignment readingOrder="0"/>
    </xf>
    <xf borderId="13" fillId="8" fontId="9" numFmtId="0" xfId="0" applyAlignment="1" applyBorder="1" applyFont="1">
      <alignment horizontal="right" readingOrder="0"/>
    </xf>
    <xf borderId="0" fillId="12" fontId="1" numFmtId="2" xfId="0" applyFont="1" applyNumberFormat="1"/>
    <xf borderId="7" fillId="8" fontId="9" numFmtId="0" xfId="0" applyAlignment="1" applyBorder="1" applyFont="1">
      <alignment horizontal="right" readingOrder="0"/>
    </xf>
    <xf borderId="0" fillId="12" fontId="5" numFmtId="0" xfId="0" applyAlignment="1" applyFont="1">
      <alignment readingOrder="0"/>
    </xf>
    <xf borderId="0" fillId="12" fontId="1" numFmtId="0" xfId="0" applyFont="1"/>
    <xf borderId="0" fillId="12" fontId="1" numFmtId="169" xfId="0" applyFont="1" applyNumberFormat="1"/>
    <xf borderId="6" fillId="8" fontId="9" numFmtId="0" xfId="0" applyAlignment="1" applyBorder="1" applyFont="1">
      <alignment horizontal="right" readingOrder="0"/>
    </xf>
    <xf borderId="0" fillId="2" fontId="1" numFmtId="170" xfId="0" applyAlignment="1" applyFont="1" applyNumberFormat="1">
      <alignment horizontal="center" readingOrder="0"/>
    </xf>
    <xf borderId="0" fillId="3" fontId="1" numFmtId="0" xfId="0" applyAlignment="1" applyFont="1">
      <alignment readingOrder="0" shrinkToFit="0" wrapText="0"/>
    </xf>
    <xf borderId="0" fillId="4" fontId="2" numFmtId="169" xfId="0" applyAlignment="1" applyFont="1" applyNumberFormat="1">
      <alignment readingOrder="0"/>
    </xf>
    <xf borderId="0" fillId="4" fontId="2" numFmtId="170" xfId="0" applyAlignment="1" applyFont="1" applyNumberFormat="1">
      <alignment readingOrder="0"/>
    </xf>
    <xf borderId="0" fillId="4" fontId="2" numFmtId="3" xfId="0" applyAlignment="1" applyFont="1" applyNumberFormat="1">
      <alignment readingOrder="0" shrinkToFit="0" wrapText="0"/>
    </xf>
    <xf borderId="0" fillId="18" fontId="2" numFmtId="3" xfId="0" applyAlignment="1" applyFill="1" applyFont="1" applyNumberFormat="1">
      <alignment readingOrder="0"/>
    </xf>
    <xf borderId="0" fillId="4" fontId="2" numFmtId="3" xfId="0" applyAlignment="1" applyFont="1" applyNumberFormat="1">
      <alignment readingOrder="0" shrinkToFit="0" vertical="bottom" wrapText="0"/>
    </xf>
    <xf borderId="0" fillId="0" fontId="2" numFmtId="170" xfId="0" applyAlignment="1" applyFont="1" applyNumberFormat="1">
      <alignment readingOrder="0"/>
    </xf>
    <xf borderId="0" fillId="3" fontId="6" numFmtId="0" xfId="0" applyAlignment="1" applyFont="1">
      <alignment readingOrder="0" shrinkToFit="0" wrapText="0"/>
    </xf>
    <xf borderId="0" fillId="4" fontId="5" numFmtId="3" xfId="0" applyAlignment="1" applyFont="1" applyNumberFormat="1">
      <alignment readingOrder="0"/>
    </xf>
    <xf borderId="0" fillId="4" fontId="5" numFmtId="3" xfId="0" applyAlignment="1" applyFont="1" applyNumberFormat="1">
      <alignment readingOrder="0" shrinkToFit="0" wrapText="0"/>
    </xf>
    <xf borderId="0" fillId="18" fontId="5" numFmtId="3" xfId="0" applyAlignment="1" applyFont="1" applyNumberFormat="1">
      <alignment readingOrder="0"/>
    </xf>
    <xf borderId="0" fillId="0" fontId="2" numFmtId="170" xfId="0" applyFont="1" applyNumberFormat="1"/>
    <xf borderId="0" fillId="19" fontId="1" numFmtId="0" xfId="0" applyAlignment="1" applyFill="1" applyFont="1">
      <alignment readingOrder="0"/>
    </xf>
    <xf borderId="0" fillId="19" fontId="1" numFmtId="0" xfId="0" applyAlignment="1" applyFont="1">
      <alignment horizontal="center" readingOrder="0"/>
    </xf>
    <xf borderId="0" fillId="19" fontId="2" numFmtId="0" xfId="0" applyFont="1"/>
    <xf borderId="0" fillId="19" fontId="1" numFmtId="0" xfId="0" applyAlignment="1" applyFont="1">
      <alignment readingOrder="0" shrinkToFit="0" wrapText="0"/>
    </xf>
    <xf borderId="0" fillId="19" fontId="2" numFmtId="0" xfId="0" applyAlignment="1" applyFont="1">
      <alignment readingOrder="0"/>
    </xf>
    <xf borderId="0" fillId="19" fontId="2" numFmtId="171" xfId="0" applyAlignment="1" applyFont="1" applyNumberFormat="1">
      <alignment readingOrder="0"/>
    </xf>
    <xf borderId="0" fillId="19" fontId="2" numFmtId="3" xfId="0" applyAlignment="1" applyFont="1" applyNumberFormat="1">
      <alignment readingOrder="0"/>
    </xf>
    <xf borderId="0" fillId="0" fontId="2" numFmtId="3" xfId="0" applyFont="1" applyNumberFormat="1"/>
    <xf borderId="0" fillId="0" fontId="1" numFmtId="0" xfId="0" applyAlignment="1" applyFont="1">
      <alignment readingOrder="0"/>
    </xf>
    <xf borderId="0" fillId="13" fontId="1" numFmtId="0" xfId="0" applyAlignment="1" applyFont="1">
      <alignment readingOrder="0"/>
    </xf>
    <xf borderId="0" fillId="13" fontId="12" numFmtId="0" xfId="0" applyAlignment="1" applyFont="1">
      <alignment readingOrder="0"/>
    </xf>
    <xf borderId="0" fillId="0" fontId="2" numFmtId="0" xfId="0" applyAlignment="1" applyFont="1">
      <alignment readingOrder="0" shrinkToFit="0" wrapText="0"/>
    </xf>
    <xf borderId="0" fillId="0" fontId="13" numFmtId="0" xfId="0" applyAlignment="1" applyFont="1">
      <alignment readingOrder="0"/>
    </xf>
    <xf borderId="0" fillId="0" fontId="14" numFmtId="0" xfId="0" applyAlignment="1" applyFont="1">
      <alignment readingOrder="0"/>
    </xf>
    <xf borderId="0" fillId="19" fontId="4" numFmtId="0" xfId="0" applyAlignment="1" applyFont="1">
      <alignment horizontal="left" readingOrder="0"/>
    </xf>
    <xf borderId="0" fillId="0" fontId="5" numFmtId="0" xfId="0" applyAlignment="1" applyFont="1">
      <alignment readingOrder="0" shrinkToFit="0" wrapText="0"/>
    </xf>
    <xf borderId="0" fillId="11" fontId="1" numFmtId="0" xfId="0" applyAlignment="1" applyFont="1">
      <alignment readingOrder="0"/>
    </xf>
    <xf borderId="0" fillId="0" fontId="15" numFmtId="0" xfId="0" applyAlignment="1" applyFont="1">
      <alignment readingOrder="0" vertical="bottom"/>
    </xf>
    <xf borderId="0" fillId="0" fontId="15" numFmtId="0" xfId="0" applyAlignment="1" applyFont="1">
      <alignment vertical="bottom"/>
    </xf>
    <xf borderId="0" fillId="0" fontId="15" numFmtId="0" xfId="0" applyAlignment="1" applyFont="1">
      <alignment horizontal="right" readingOrder="0" vertical="bottom"/>
    </xf>
    <xf borderId="0" fillId="0" fontId="15" numFmtId="0" xfId="0" applyAlignment="1" applyFont="1">
      <alignment horizontal="center" vertical="bottom"/>
    </xf>
    <xf borderId="0" fillId="0" fontId="15" numFmtId="0" xfId="0" applyAlignment="1" applyFont="1">
      <alignment horizontal="center" readingOrder="0" vertical="bottom"/>
    </xf>
    <xf borderId="0" fillId="0" fontId="16" numFmtId="0" xfId="0" applyAlignment="1" applyFont="1">
      <alignment readingOrder="0" vertical="bottom"/>
    </xf>
    <xf borderId="0" fillId="0" fontId="16" numFmtId="0" xfId="0" applyAlignment="1" applyFont="1">
      <alignment horizontal="right" readingOrder="0" vertical="bottom"/>
    </xf>
    <xf borderId="0" fillId="0" fontId="15" numFmtId="0" xfId="0" applyAlignment="1" applyFont="1">
      <alignment vertical="bottom"/>
    </xf>
    <xf borderId="0" fillId="13" fontId="17" numFmtId="0" xfId="0" applyAlignment="1" applyFont="1">
      <alignment readingOrder="0"/>
    </xf>
    <xf borderId="0" fillId="13" fontId="17" numFmtId="0" xfId="0" applyAlignment="1" applyFont="1">
      <alignment readingOrder="0" shrinkToFit="0" wrapText="0"/>
    </xf>
    <xf borderId="0" fillId="0" fontId="3" numFmtId="0" xfId="0" applyAlignment="1" applyFont="1">
      <alignment readingOrder="0"/>
    </xf>
    <xf borderId="0" fillId="0" fontId="3" numFmtId="0" xfId="0" applyAlignment="1" applyFont="1">
      <alignment readingOrder="0" shrinkToFit="0" wrapText="0"/>
    </xf>
    <xf borderId="0" fillId="0" fontId="3" numFmtId="0" xfId="0" applyFont="1"/>
    <xf borderId="0" fillId="0" fontId="3" numFmtId="0" xfId="0" applyAlignment="1" applyFont="1">
      <alignment shrinkToFit="0" wrapText="0"/>
    </xf>
    <xf borderId="0" fillId="0" fontId="2" numFmtId="0" xfId="0" applyAlignment="1" applyFont="1">
      <alignment shrinkToFit="0" wrapText="0"/>
    </xf>
    <xf borderId="0" fillId="0" fontId="13" numFmtId="0" xfId="0" applyAlignment="1" applyFont="1">
      <alignment readingOrder="0" shrinkToFit="0" wrapText="0"/>
    </xf>
    <xf borderId="0" fillId="2" fontId="6" numFmtId="0" xfId="0" applyAlignment="1" applyFont="1">
      <alignment horizontal="center" readingOrder="0"/>
    </xf>
    <xf borderId="0" fillId="12" fontId="1" numFmtId="0" xfId="0" applyAlignment="1" applyFont="1">
      <alignment readingOrder="0"/>
    </xf>
    <xf borderId="0" fillId="0" fontId="2" numFmtId="172" xfId="0" applyAlignment="1" applyFont="1" applyNumberFormat="1">
      <alignment readingOrder="0"/>
    </xf>
    <xf borderId="0" fillId="0" fontId="2" numFmtId="172" xfId="0" applyFont="1" applyNumberFormat="1"/>
  </cellXfs>
  <cellStyles count="1">
    <cellStyle xfId="0" name="Normal" builtinId="0"/>
  </cellStyles>
  <dxfs count="3">
    <dxf>
      <font/>
      <fill>
        <patternFill patternType="solid">
          <fgColor rgb="FFB7B7B7"/>
          <bgColor rgb="FFB7B7B7"/>
        </patternFill>
      </fill>
      <border/>
    </dxf>
    <dxf>
      <font/>
      <fill>
        <patternFill patternType="solid">
          <fgColor rgb="FFE06666"/>
          <bgColor rgb="FFE06666"/>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228600</xdr:colOff>
      <xdr:row>8</xdr:row>
      <xdr:rowOff>9525</xdr:rowOff>
    </xdr:from>
    <xdr:ext cx="3676650" cy="2590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ideki" id="{1fb593e3-df46-48af-b506-f05e5285968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4-03-16T03:34:25.00" personId="{1fb593e3-df46-48af-b506-f05e52859686}" id="{a047de92-7972-48d5-b2cc-b0b5a7e1873a}" done="0">
    <x18tc:text xml:space="preserve">If it's a main_node or major_node, no need to enter any value since it doesn't change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4-03-16T01:43:48.00" personId="{1fb593e3-df46-48af-b506-f05e52859686}" id="{d1d0c668-8b28-491b-aa84-8e26a901883f}" done="0">
    <x18tc:text xml:space="preserve">For Awakaned Skill, precise if it's a new passive or a upgrade of a skill
Let empty if not
Precise exact skill name if Yes</x18tc:text>
  </x18tc:threadedComment>
  <x18tc:threadedComment ref="D1" dT="2024-03-16T04:18:52.00" personId="{1fb593e3-df46-48af-b506-f05e52859686}" id="{4675d53e-9c9a-417b-9276-1b57af473962}" done="0">
    <x18tc:text xml:space="preserve">Always give a tooltip with max level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4.xml"/><Relationship Id="rId5"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6.xml"/><Relationship Id="rId5"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6.63"/>
    <col customWidth="1" min="3" max="3" width="24.38"/>
    <col customWidth="1" min="4" max="4" width="9.25"/>
    <col customWidth="1" min="5" max="5" width="5.25"/>
    <col customWidth="1" min="6" max="6" width="6.0"/>
    <col customWidth="1" min="7" max="7" width="7.5"/>
    <col customWidth="1" min="8" max="8" width="8.38"/>
    <col customWidth="1" min="9" max="9" width="10.25"/>
    <col customWidth="1" min="10" max="10" width="9.75"/>
    <col customWidth="1" min="11" max="11" width="10.0"/>
    <col customWidth="1" min="12" max="12" width="8.25"/>
    <col customWidth="1" min="13" max="13" width="20.38"/>
    <col customWidth="1" min="14" max="14" width="10.0"/>
    <col customWidth="1" min="15" max="15" width="14.75"/>
    <col customWidth="1" min="16" max="16" width="6.88"/>
    <col customWidth="1" min="17" max="17" width="24.5"/>
    <col customWidth="1" min="19" max="19" width="13.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c r="A2" s="3" t="s">
        <v>15</v>
      </c>
      <c r="B2" s="4">
        <v>1.0</v>
      </c>
      <c r="C2" s="5" t="str">
        <f t="shared" ref="C2:C476" si="1">trunc(O2/86400)&amp;" days "&amp;mod(trunc(O2/3600),24)&amp;" hours "&amp;mod(trunc(O2/60),60)&amp;" minutes"</f>
        <v>0 days 0 hours 0 minutes</v>
      </c>
      <c r="D2" s="6"/>
      <c r="E2" s="7"/>
      <c r="F2" s="7"/>
      <c r="G2" s="7"/>
      <c r="H2" s="8"/>
      <c r="I2" s="9"/>
      <c r="J2" s="9"/>
      <c r="K2" s="9"/>
      <c r="L2" s="9"/>
      <c r="M2" s="9"/>
      <c r="N2" s="10">
        <f t="shared" ref="N2:N476" si="2">H2+G2*60+F2*3600+E2*86400</f>
        <v>0</v>
      </c>
      <c r="O2" s="10">
        <f t="shared" ref="O2:O476" si="3">ROUNDUP(N2*(D2+1),0)</f>
        <v>0</v>
      </c>
      <c r="Q2" s="11" t="s">
        <v>16</v>
      </c>
    </row>
    <row r="3">
      <c r="A3" s="3" t="s">
        <v>15</v>
      </c>
      <c r="B3" s="4">
        <v>2.0</v>
      </c>
      <c r="C3" s="5" t="str">
        <f t="shared" si="1"/>
        <v>0 days 0 hours 0 minutes</v>
      </c>
      <c r="D3" s="12">
        <v>0.0</v>
      </c>
      <c r="E3" s="11">
        <v>0.0</v>
      </c>
      <c r="F3" s="11">
        <v>0.0</v>
      </c>
      <c r="G3" s="11">
        <v>0.0</v>
      </c>
      <c r="H3" s="13">
        <v>2.0</v>
      </c>
      <c r="I3" s="14">
        <v>2500.0</v>
      </c>
      <c r="J3" s="14">
        <v>2500.0</v>
      </c>
      <c r="K3" s="14">
        <v>0.0</v>
      </c>
      <c r="L3" s="14">
        <v>0.0</v>
      </c>
      <c r="M3" s="14" t="s">
        <v>17</v>
      </c>
      <c r="N3" s="10">
        <f t="shared" si="2"/>
        <v>2</v>
      </c>
      <c r="O3" s="10">
        <f t="shared" si="3"/>
        <v>2</v>
      </c>
      <c r="Q3" s="15" t="s">
        <v>18</v>
      </c>
    </row>
    <row r="4">
      <c r="A4" s="3" t="s">
        <v>15</v>
      </c>
      <c r="B4" s="4">
        <v>3.0</v>
      </c>
      <c r="C4" s="5" t="str">
        <f t="shared" si="1"/>
        <v>0 days 0 hours 5 minutes</v>
      </c>
      <c r="D4" s="12">
        <v>0.0</v>
      </c>
      <c r="E4" s="11">
        <v>0.0</v>
      </c>
      <c r="F4" s="11">
        <v>0.0</v>
      </c>
      <c r="G4" s="11">
        <v>5.0</v>
      </c>
      <c r="H4" s="13">
        <v>0.0</v>
      </c>
      <c r="I4" s="14">
        <v>6500.0</v>
      </c>
      <c r="J4" s="14">
        <v>6500.0</v>
      </c>
      <c r="K4" s="14">
        <v>0.0</v>
      </c>
      <c r="L4" s="14">
        <v>0.0</v>
      </c>
      <c r="M4" s="14" t="s">
        <v>17</v>
      </c>
      <c r="N4" s="10">
        <f t="shared" si="2"/>
        <v>300</v>
      </c>
      <c r="O4" s="10">
        <f t="shared" si="3"/>
        <v>300</v>
      </c>
      <c r="Q4" s="16" t="s">
        <v>19</v>
      </c>
    </row>
    <row r="5">
      <c r="A5" s="3" t="s">
        <v>15</v>
      </c>
      <c r="B5" s="4">
        <v>4.0</v>
      </c>
      <c r="C5" s="5" t="str">
        <f t="shared" si="1"/>
        <v>0 days 0 hours 20 minutes</v>
      </c>
      <c r="D5" s="12">
        <v>0.0</v>
      </c>
      <c r="E5" s="11">
        <v>0.0</v>
      </c>
      <c r="F5" s="11">
        <v>0.0</v>
      </c>
      <c r="G5" s="11">
        <v>20.0</v>
      </c>
      <c r="H5" s="13">
        <v>0.0</v>
      </c>
      <c r="I5" s="14">
        <v>11800.0</v>
      </c>
      <c r="J5" s="14">
        <v>11800.0</v>
      </c>
      <c r="K5" s="14">
        <v>0.0</v>
      </c>
      <c r="L5" s="14">
        <v>0.0</v>
      </c>
      <c r="M5" s="14" t="s">
        <v>20</v>
      </c>
      <c r="N5" s="10">
        <f t="shared" si="2"/>
        <v>1200</v>
      </c>
      <c r="O5" s="10">
        <f t="shared" si="3"/>
        <v>1200</v>
      </c>
    </row>
    <row r="6">
      <c r="A6" s="3" t="s">
        <v>15</v>
      </c>
      <c r="B6" s="4">
        <v>5.0</v>
      </c>
      <c r="C6" s="5" t="str">
        <f t="shared" si="1"/>
        <v>0 days 1 hours 0 minutes</v>
      </c>
      <c r="D6" s="12">
        <v>0.0</v>
      </c>
      <c r="E6" s="11">
        <v>0.0</v>
      </c>
      <c r="F6" s="11">
        <v>1.0</v>
      </c>
      <c r="G6" s="11">
        <v>0.0</v>
      </c>
      <c r="H6" s="13">
        <v>0.0</v>
      </c>
      <c r="I6" s="14">
        <v>21300.0</v>
      </c>
      <c r="J6" s="14">
        <v>21300.0</v>
      </c>
      <c r="K6" s="14">
        <v>0.0</v>
      </c>
      <c r="L6" s="14">
        <v>0.0</v>
      </c>
      <c r="M6" s="14" t="s">
        <v>21</v>
      </c>
      <c r="N6" s="10">
        <f t="shared" si="2"/>
        <v>3600</v>
      </c>
      <c r="O6" s="10">
        <f t="shared" si="3"/>
        <v>3600</v>
      </c>
    </row>
    <row r="7">
      <c r="A7" s="3" t="s">
        <v>15</v>
      </c>
      <c r="B7" s="4">
        <v>6.0</v>
      </c>
      <c r="C7" s="5" t="str">
        <f t="shared" si="1"/>
        <v>0 days 2 hours 0 minutes</v>
      </c>
      <c r="D7" s="12">
        <v>0.0</v>
      </c>
      <c r="E7" s="11">
        <v>0.0</v>
      </c>
      <c r="F7" s="11">
        <v>2.0</v>
      </c>
      <c r="G7" s="11">
        <v>0.0</v>
      </c>
      <c r="H7" s="13">
        <v>0.0</v>
      </c>
      <c r="I7" s="14">
        <v>36300.0</v>
      </c>
      <c r="J7" s="14">
        <v>36300.0</v>
      </c>
      <c r="K7" s="14">
        <v>12000.0</v>
      </c>
      <c r="L7" s="14">
        <v>0.0</v>
      </c>
      <c r="M7" s="14" t="s">
        <v>22</v>
      </c>
      <c r="N7" s="10">
        <f t="shared" si="2"/>
        <v>7200</v>
      </c>
      <c r="O7" s="10">
        <f t="shared" si="3"/>
        <v>7200</v>
      </c>
      <c r="Q7" s="17" t="s">
        <v>23</v>
      </c>
    </row>
    <row r="8">
      <c r="A8" s="3" t="s">
        <v>15</v>
      </c>
      <c r="B8" s="4">
        <v>7.0</v>
      </c>
      <c r="C8" s="5" t="str">
        <f t="shared" si="1"/>
        <v>0 days 5 hours 0 minutes</v>
      </c>
      <c r="D8" s="12">
        <v>0.0</v>
      </c>
      <c r="E8" s="11">
        <v>0.0</v>
      </c>
      <c r="F8" s="11">
        <v>5.0</v>
      </c>
      <c r="G8" s="11">
        <v>0.0</v>
      </c>
      <c r="H8" s="13">
        <v>0.0</v>
      </c>
      <c r="I8" s="14">
        <v>54400.0</v>
      </c>
      <c r="J8" s="14">
        <v>54400.0</v>
      </c>
      <c r="K8" s="14">
        <v>19200.0</v>
      </c>
      <c r="L8" s="14">
        <v>0.0</v>
      </c>
      <c r="M8" s="14" t="s">
        <v>24</v>
      </c>
      <c r="N8" s="10">
        <f t="shared" si="2"/>
        <v>18000</v>
      </c>
      <c r="O8" s="10">
        <f t="shared" si="3"/>
        <v>18000</v>
      </c>
    </row>
    <row r="9">
      <c r="A9" s="3" t="s">
        <v>15</v>
      </c>
      <c r="B9" s="4">
        <v>8.0</v>
      </c>
      <c r="C9" s="5" t="str">
        <f t="shared" si="1"/>
        <v>0 days 10 hours 0 minutes</v>
      </c>
      <c r="D9" s="12">
        <v>0.0</v>
      </c>
      <c r="E9" s="11">
        <v>0.0</v>
      </c>
      <c r="F9" s="11">
        <v>10.0</v>
      </c>
      <c r="G9" s="11">
        <v>0.0</v>
      </c>
      <c r="H9" s="13">
        <v>0.0</v>
      </c>
      <c r="I9" s="14">
        <v>81800.0</v>
      </c>
      <c r="J9" s="14">
        <v>81800.0</v>
      </c>
      <c r="K9" s="14">
        <v>30800.0</v>
      </c>
      <c r="L9" s="14">
        <v>0.0</v>
      </c>
      <c r="M9" s="14" t="s">
        <v>25</v>
      </c>
      <c r="N9" s="10">
        <f t="shared" si="2"/>
        <v>36000</v>
      </c>
      <c r="O9" s="10">
        <f t="shared" si="3"/>
        <v>36000</v>
      </c>
    </row>
    <row r="10">
      <c r="A10" s="3" t="s">
        <v>15</v>
      </c>
      <c r="B10" s="4">
        <v>9.0</v>
      </c>
      <c r="C10" s="5" t="str">
        <f t="shared" si="1"/>
        <v>0 days 15 hours 0 minutes</v>
      </c>
      <c r="D10" s="12">
        <v>0.0</v>
      </c>
      <c r="E10" s="11">
        <v>0.0</v>
      </c>
      <c r="F10" s="11">
        <v>15.0</v>
      </c>
      <c r="G10" s="11">
        <v>0.0</v>
      </c>
      <c r="H10" s="13">
        <v>0.0</v>
      </c>
      <c r="I10" s="14">
        <v>122800.0</v>
      </c>
      <c r="J10" s="14">
        <v>122800.0</v>
      </c>
      <c r="K10" s="14">
        <v>49200.0</v>
      </c>
      <c r="L10" s="14"/>
      <c r="M10" s="14" t="s">
        <v>26</v>
      </c>
      <c r="N10" s="10">
        <f t="shared" si="2"/>
        <v>54000</v>
      </c>
      <c r="O10" s="10">
        <f t="shared" si="3"/>
        <v>54000</v>
      </c>
    </row>
    <row r="11">
      <c r="A11" s="3" t="s">
        <v>15</v>
      </c>
      <c r="B11" s="4">
        <v>10.0</v>
      </c>
      <c r="C11" s="5" t="str">
        <f t="shared" si="1"/>
        <v>0 days 22 hours 0 minutes</v>
      </c>
      <c r="D11" s="12">
        <v>0.0</v>
      </c>
      <c r="E11" s="11">
        <v>0.0</v>
      </c>
      <c r="F11" s="11">
        <v>22.0</v>
      </c>
      <c r="G11" s="11">
        <v>0.0</v>
      </c>
      <c r="H11" s="13">
        <v>0.0</v>
      </c>
      <c r="I11" s="14">
        <v>184300.0</v>
      </c>
      <c r="J11" s="14">
        <v>184300.0</v>
      </c>
      <c r="K11" s="14">
        <v>78700.0</v>
      </c>
      <c r="L11" s="9"/>
      <c r="M11" s="9"/>
      <c r="N11" s="10">
        <f t="shared" si="2"/>
        <v>79200</v>
      </c>
      <c r="O11" s="10">
        <f t="shared" si="3"/>
        <v>79200</v>
      </c>
    </row>
    <row r="12">
      <c r="A12" s="3" t="s">
        <v>15</v>
      </c>
      <c r="B12" s="4">
        <v>11.0</v>
      </c>
      <c r="C12" s="5" t="str">
        <f t="shared" si="1"/>
        <v>1 days 6 hours 0 minutes</v>
      </c>
      <c r="D12" s="12">
        <v>0.0</v>
      </c>
      <c r="E12" s="11">
        <v>1.0</v>
      </c>
      <c r="F12" s="11">
        <v>6.0</v>
      </c>
      <c r="G12" s="11">
        <v>0.0</v>
      </c>
      <c r="H12" s="13">
        <v>0.0</v>
      </c>
      <c r="I12" s="14">
        <v>277500.0</v>
      </c>
      <c r="J12" s="14">
        <v>277500.0</v>
      </c>
      <c r="K12" s="14">
        <v>120000.0</v>
      </c>
      <c r="L12" s="9"/>
      <c r="M12" s="9"/>
      <c r="N12" s="10">
        <f t="shared" si="2"/>
        <v>108000</v>
      </c>
      <c r="O12" s="10">
        <f t="shared" si="3"/>
        <v>108000</v>
      </c>
    </row>
    <row r="13">
      <c r="A13" s="3" t="s">
        <v>15</v>
      </c>
      <c r="B13" s="4">
        <v>12.0</v>
      </c>
      <c r="C13" s="5" t="str">
        <f t="shared" si="1"/>
        <v>1 days 16 hours 0 minutes</v>
      </c>
      <c r="D13" s="12">
        <v>0.0</v>
      </c>
      <c r="E13" s="11">
        <v>1.0</v>
      </c>
      <c r="F13" s="11">
        <v>16.0</v>
      </c>
      <c r="G13" s="11">
        <v>0.0</v>
      </c>
      <c r="H13" s="13">
        <v>0.0</v>
      </c>
      <c r="I13" s="14">
        <v>417500.0</v>
      </c>
      <c r="J13" s="14">
        <v>417500.0</v>
      </c>
      <c r="K13" s="14">
        <v>180000.0</v>
      </c>
      <c r="L13" s="9"/>
      <c r="M13" s="9"/>
      <c r="N13" s="10">
        <f t="shared" si="2"/>
        <v>144000</v>
      </c>
      <c r="O13" s="10">
        <f t="shared" si="3"/>
        <v>144000</v>
      </c>
    </row>
    <row r="14">
      <c r="A14" s="3" t="s">
        <v>15</v>
      </c>
      <c r="B14" s="4">
        <v>13.0</v>
      </c>
      <c r="C14" s="5" t="str">
        <f t="shared" si="1"/>
        <v>2 days 2 hours 0 minutes</v>
      </c>
      <c r="D14" s="12">
        <v>0.0</v>
      </c>
      <c r="E14" s="11">
        <v>2.0</v>
      </c>
      <c r="F14" s="11">
        <v>2.0</v>
      </c>
      <c r="G14" s="11">
        <v>0.0</v>
      </c>
      <c r="H14" s="13">
        <v>0.0</v>
      </c>
      <c r="I14" s="14">
        <v>627500.0</v>
      </c>
      <c r="J14" s="14">
        <v>627500.0</v>
      </c>
      <c r="K14" s="14">
        <v>270000.0</v>
      </c>
      <c r="L14" s="9"/>
      <c r="M14" s="9"/>
      <c r="N14" s="10">
        <f t="shared" si="2"/>
        <v>180000</v>
      </c>
      <c r="O14" s="10">
        <f t="shared" si="3"/>
        <v>180000</v>
      </c>
    </row>
    <row r="15">
      <c r="A15" s="3" t="s">
        <v>15</v>
      </c>
      <c r="B15" s="4">
        <v>14.0</v>
      </c>
      <c r="C15" s="5" t="str">
        <f t="shared" si="1"/>
        <v>2 days 12 hours 0 minutes</v>
      </c>
      <c r="D15" s="12">
        <v>0.0</v>
      </c>
      <c r="E15" s="11">
        <v>2.0</v>
      </c>
      <c r="F15" s="11">
        <v>12.0</v>
      </c>
      <c r="G15" s="11">
        <v>0.0</v>
      </c>
      <c r="H15" s="13">
        <v>0.0</v>
      </c>
      <c r="I15" s="14">
        <v>942500.0</v>
      </c>
      <c r="J15" s="14">
        <v>942500.0</v>
      </c>
      <c r="K15" s="14">
        <v>405000.0</v>
      </c>
      <c r="L15" s="9"/>
      <c r="M15" s="9"/>
      <c r="N15" s="10">
        <f t="shared" si="2"/>
        <v>216000</v>
      </c>
      <c r="O15" s="10">
        <f t="shared" si="3"/>
        <v>216000</v>
      </c>
    </row>
    <row r="16">
      <c r="A16" s="3" t="s">
        <v>15</v>
      </c>
      <c r="B16" s="4">
        <v>15.0</v>
      </c>
      <c r="C16" s="5" t="str">
        <f t="shared" si="1"/>
        <v>2 days 22 hours 0 minutes</v>
      </c>
      <c r="D16" s="12">
        <v>0.0</v>
      </c>
      <c r="E16" s="11">
        <v>2.0</v>
      </c>
      <c r="F16" s="11">
        <v>22.0</v>
      </c>
      <c r="G16" s="11">
        <v>0.0</v>
      </c>
      <c r="H16" s="13">
        <v>0.0</v>
      </c>
      <c r="I16" s="14">
        <v>1400000.0</v>
      </c>
      <c r="J16" s="14">
        <v>1400000.0</v>
      </c>
      <c r="K16" s="14">
        <v>607500.0</v>
      </c>
      <c r="L16" s="9"/>
      <c r="M16" s="9"/>
      <c r="N16" s="10">
        <f t="shared" si="2"/>
        <v>252000</v>
      </c>
      <c r="O16" s="10">
        <f t="shared" si="3"/>
        <v>252000</v>
      </c>
    </row>
    <row r="17">
      <c r="A17" s="3" t="s">
        <v>15</v>
      </c>
      <c r="B17" s="4">
        <v>16.0</v>
      </c>
      <c r="C17" s="5" t="str">
        <f t="shared" si="1"/>
        <v>4 days 0 hours 0 minutes</v>
      </c>
      <c r="D17" s="12">
        <v>0.0</v>
      </c>
      <c r="E17" s="11">
        <v>4.0</v>
      </c>
      <c r="F17" s="11">
        <v>0.0</v>
      </c>
      <c r="G17" s="11">
        <v>0.0</v>
      </c>
      <c r="H17" s="13">
        <v>0.0</v>
      </c>
      <c r="I17" s="14">
        <v>2100000.0</v>
      </c>
      <c r="J17" s="14">
        <v>2100000.0</v>
      </c>
      <c r="K17" s="14">
        <v>912500.0</v>
      </c>
      <c r="L17" s="9"/>
      <c r="M17" s="9"/>
      <c r="N17" s="10">
        <f t="shared" si="2"/>
        <v>345600</v>
      </c>
      <c r="O17" s="10">
        <f t="shared" si="3"/>
        <v>345600</v>
      </c>
    </row>
    <row r="18">
      <c r="A18" s="3" t="s">
        <v>15</v>
      </c>
      <c r="B18" s="4">
        <v>17.0</v>
      </c>
      <c r="C18" s="5" t="str">
        <f t="shared" si="1"/>
        <v>4 days 20 hours 0 minutes</v>
      </c>
      <c r="D18" s="12">
        <v>0.0</v>
      </c>
      <c r="E18" s="11">
        <v>4.0</v>
      </c>
      <c r="F18" s="11">
        <v>20.0</v>
      </c>
      <c r="G18" s="11">
        <v>0.0</v>
      </c>
      <c r="H18" s="13">
        <v>0.0</v>
      </c>
      <c r="I18" s="14">
        <v>3200000.0</v>
      </c>
      <c r="J18" s="14">
        <v>3200000.0</v>
      </c>
      <c r="K18" s="14">
        <v>1400000.0</v>
      </c>
      <c r="L18" s="9"/>
      <c r="M18" s="9"/>
      <c r="N18" s="10">
        <f t="shared" si="2"/>
        <v>417600</v>
      </c>
      <c r="O18" s="10">
        <f t="shared" si="3"/>
        <v>417600</v>
      </c>
    </row>
    <row r="19">
      <c r="A19" s="3" t="s">
        <v>15</v>
      </c>
      <c r="B19" s="4">
        <v>18.0</v>
      </c>
      <c r="C19" s="5" t="str">
        <f t="shared" si="1"/>
        <v>5 days 20 hours 0 minutes</v>
      </c>
      <c r="D19" s="12">
        <v>0.0</v>
      </c>
      <c r="E19" s="11">
        <v>5.0</v>
      </c>
      <c r="F19" s="11">
        <v>20.0</v>
      </c>
      <c r="G19" s="11">
        <v>0.0</v>
      </c>
      <c r="H19" s="13">
        <v>0.0</v>
      </c>
      <c r="I19" s="14">
        <v>4800000.0</v>
      </c>
      <c r="J19" s="14">
        <v>4800000.0</v>
      </c>
      <c r="K19" s="14">
        <v>2100000.0</v>
      </c>
      <c r="L19" s="9"/>
      <c r="M19" s="9"/>
      <c r="N19" s="10">
        <f t="shared" si="2"/>
        <v>504000</v>
      </c>
      <c r="O19" s="10">
        <f t="shared" si="3"/>
        <v>504000</v>
      </c>
    </row>
    <row r="20">
      <c r="A20" s="3" t="s">
        <v>15</v>
      </c>
      <c r="B20" s="4">
        <v>19.0</v>
      </c>
      <c r="C20" s="5" t="str">
        <f t="shared" si="1"/>
        <v>7 days 0 hours 0 minutes</v>
      </c>
      <c r="D20" s="12">
        <v>0.0</v>
      </c>
      <c r="E20" s="11">
        <v>7.0</v>
      </c>
      <c r="F20" s="11">
        <v>0.0</v>
      </c>
      <c r="G20" s="11">
        <v>0.0</v>
      </c>
      <c r="H20" s="13">
        <v>0.0</v>
      </c>
      <c r="I20" s="14">
        <v>7200000.0</v>
      </c>
      <c r="J20" s="14">
        <v>7200000.0</v>
      </c>
      <c r="K20" s="14">
        <v>3100000.0</v>
      </c>
      <c r="L20" s="9"/>
      <c r="M20" s="9"/>
      <c r="N20" s="10">
        <f t="shared" si="2"/>
        <v>604800</v>
      </c>
      <c r="O20" s="10">
        <f t="shared" si="3"/>
        <v>604800</v>
      </c>
    </row>
    <row r="21">
      <c r="A21" s="3" t="s">
        <v>15</v>
      </c>
      <c r="B21" s="4">
        <v>20.0</v>
      </c>
      <c r="C21" s="5" t="str">
        <f t="shared" si="1"/>
        <v>8 days 6 hours 0 minutes</v>
      </c>
      <c r="D21" s="12">
        <v>0.0</v>
      </c>
      <c r="E21" s="11">
        <v>8.0</v>
      </c>
      <c r="F21" s="11">
        <v>6.0</v>
      </c>
      <c r="G21" s="11">
        <v>0.0</v>
      </c>
      <c r="H21" s="13">
        <v>0.0</v>
      </c>
      <c r="I21" s="14">
        <v>1.08E7</v>
      </c>
      <c r="J21" s="14">
        <v>1.08E7</v>
      </c>
      <c r="K21" s="14">
        <v>4700000.0</v>
      </c>
      <c r="L21" s="9"/>
      <c r="M21" s="9"/>
      <c r="N21" s="10">
        <f t="shared" si="2"/>
        <v>712800</v>
      </c>
      <c r="O21" s="10">
        <f t="shared" si="3"/>
        <v>712800</v>
      </c>
    </row>
    <row r="22">
      <c r="A22" s="3" t="s">
        <v>15</v>
      </c>
      <c r="B22" s="4">
        <v>21.0</v>
      </c>
      <c r="C22" s="5" t="str">
        <f t="shared" si="1"/>
        <v>11 days 2 hours 0 minutes</v>
      </c>
      <c r="D22" s="12">
        <v>0.0</v>
      </c>
      <c r="E22" s="11">
        <v>11.0</v>
      </c>
      <c r="F22" s="11">
        <v>2.0</v>
      </c>
      <c r="G22" s="11">
        <v>0.0</v>
      </c>
      <c r="H22" s="13">
        <v>0.0</v>
      </c>
      <c r="I22" s="14">
        <v>1.62E7</v>
      </c>
      <c r="J22" s="14">
        <v>1.62E7</v>
      </c>
      <c r="K22" s="14">
        <v>7000000.0</v>
      </c>
      <c r="L22" s="9"/>
      <c r="M22" s="9"/>
      <c r="N22" s="10">
        <f t="shared" si="2"/>
        <v>957600</v>
      </c>
      <c r="O22" s="10">
        <f t="shared" si="3"/>
        <v>957600</v>
      </c>
    </row>
    <row r="23">
      <c r="A23" s="3" t="s">
        <v>15</v>
      </c>
      <c r="B23" s="4">
        <v>22.0</v>
      </c>
      <c r="C23" s="5" t="str">
        <f t="shared" si="1"/>
        <v>17 days 3 hours 0 minutes</v>
      </c>
      <c r="D23" s="12">
        <v>0.0</v>
      </c>
      <c r="E23" s="11">
        <v>17.0</v>
      </c>
      <c r="F23" s="11">
        <v>3.0</v>
      </c>
      <c r="G23" s="11">
        <v>0.0</v>
      </c>
      <c r="H23" s="13">
        <v>0.0</v>
      </c>
      <c r="I23" s="14">
        <v>2.43E7</v>
      </c>
      <c r="J23" s="14">
        <v>2.43E7</v>
      </c>
      <c r="K23" s="14">
        <v>1.06E7</v>
      </c>
      <c r="L23" s="9"/>
      <c r="M23" s="9"/>
      <c r="N23" s="10">
        <f t="shared" si="2"/>
        <v>1479600</v>
      </c>
      <c r="O23" s="10">
        <f t="shared" si="3"/>
        <v>1479600</v>
      </c>
    </row>
    <row r="24">
      <c r="A24" s="3" t="s">
        <v>15</v>
      </c>
      <c r="B24" s="4">
        <v>23.0</v>
      </c>
      <c r="C24" s="5" t="str">
        <f t="shared" si="1"/>
        <v>23 days 23 hours 0 minutes</v>
      </c>
      <c r="D24" s="12">
        <v>0.85</v>
      </c>
      <c r="E24" s="11">
        <v>12.0</v>
      </c>
      <c r="F24" s="11">
        <v>22.0</v>
      </c>
      <c r="G24" s="11">
        <v>48.0</v>
      </c>
      <c r="H24" s="13">
        <v>39.0</v>
      </c>
      <c r="I24" s="14">
        <v>3.65E7</v>
      </c>
      <c r="J24" s="14">
        <v>3.65E7</v>
      </c>
      <c r="K24" s="14">
        <v>1.59E7</v>
      </c>
      <c r="L24" s="14"/>
      <c r="M24" s="14"/>
      <c r="N24" s="10">
        <f t="shared" si="2"/>
        <v>1118919</v>
      </c>
      <c r="O24" s="10">
        <f t="shared" si="3"/>
        <v>2070001</v>
      </c>
    </row>
    <row r="25">
      <c r="A25" s="3" t="s">
        <v>15</v>
      </c>
      <c r="B25" s="4">
        <v>24.0</v>
      </c>
      <c r="C25" s="5" t="str">
        <f t="shared" si="1"/>
        <v>36 days 0 hours 0 minutes</v>
      </c>
      <c r="D25" s="12">
        <v>0.0</v>
      </c>
      <c r="E25" s="11">
        <v>36.0</v>
      </c>
      <c r="F25" s="11">
        <v>0.0</v>
      </c>
      <c r="G25" s="11">
        <v>0.0</v>
      </c>
      <c r="H25" s="13">
        <v>0.0</v>
      </c>
      <c r="I25" s="14">
        <v>4.81E7</v>
      </c>
      <c r="J25" s="14">
        <v>4.81E7</v>
      </c>
      <c r="K25" s="14">
        <v>2.55E7</v>
      </c>
      <c r="L25" s="14">
        <v>3400000.0</v>
      </c>
      <c r="M25" s="14"/>
      <c r="N25" s="10">
        <f t="shared" si="2"/>
        <v>3110400</v>
      </c>
      <c r="O25" s="10">
        <f t="shared" si="3"/>
        <v>3110400</v>
      </c>
    </row>
    <row r="26">
      <c r="A26" s="3" t="s">
        <v>15</v>
      </c>
      <c r="B26" s="4">
        <v>25.0</v>
      </c>
      <c r="C26" s="5" t="str">
        <f t="shared" si="1"/>
        <v>126 days 3 hours 46 minutes</v>
      </c>
      <c r="D26" s="12">
        <v>0.71</v>
      </c>
      <c r="E26" s="11">
        <v>73.0</v>
      </c>
      <c r="F26" s="11">
        <v>18.0</v>
      </c>
      <c r="G26" s="11">
        <v>37.0</v>
      </c>
      <c r="H26" s="13">
        <v>50.0</v>
      </c>
      <c r="I26" s="14">
        <v>7.22E7</v>
      </c>
      <c r="J26" s="14">
        <v>7.22E7</v>
      </c>
      <c r="K26" s="14">
        <v>3.82E7</v>
      </c>
      <c r="L26" s="14">
        <v>5100000.0</v>
      </c>
      <c r="M26" s="14"/>
      <c r="N26" s="10">
        <f t="shared" si="2"/>
        <v>6374270</v>
      </c>
      <c r="O26" s="10">
        <f t="shared" si="3"/>
        <v>10900002</v>
      </c>
    </row>
    <row r="27">
      <c r="A27" s="18" t="s">
        <v>27</v>
      </c>
      <c r="B27" s="19">
        <v>1.0</v>
      </c>
      <c r="C27" s="20" t="str">
        <f t="shared" si="1"/>
        <v>0 days 0 hours 0 minutes</v>
      </c>
      <c r="D27" s="21"/>
      <c r="E27" s="22"/>
      <c r="F27" s="22"/>
      <c r="G27" s="22"/>
      <c r="H27" s="23"/>
      <c r="I27" s="24"/>
      <c r="J27" s="24"/>
      <c r="K27" s="24"/>
      <c r="L27" s="24"/>
      <c r="M27" s="24"/>
      <c r="N27" s="25">
        <f t="shared" si="2"/>
        <v>0</v>
      </c>
      <c r="O27" s="25">
        <f t="shared" si="3"/>
        <v>0</v>
      </c>
    </row>
    <row r="28">
      <c r="A28" s="3" t="s">
        <v>27</v>
      </c>
      <c r="B28" s="4">
        <v>2.0</v>
      </c>
      <c r="C28" s="5" t="str">
        <f t="shared" si="1"/>
        <v>0 days 0 hours 1 minutes</v>
      </c>
      <c r="D28" s="12">
        <v>0.43</v>
      </c>
      <c r="E28" s="7"/>
      <c r="F28" s="7"/>
      <c r="G28" s="7"/>
      <c r="H28" s="13">
        <v>42.0</v>
      </c>
      <c r="I28" s="14">
        <v>0.0</v>
      </c>
      <c r="J28" s="9"/>
      <c r="K28" s="9"/>
      <c r="L28" s="9"/>
      <c r="M28" s="14" t="s">
        <v>17</v>
      </c>
      <c r="N28" s="10">
        <f t="shared" si="2"/>
        <v>42</v>
      </c>
      <c r="O28" s="10">
        <f t="shared" si="3"/>
        <v>61</v>
      </c>
      <c r="P28" s="16"/>
    </row>
    <row r="29">
      <c r="A29" s="3" t="s">
        <v>27</v>
      </c>
      <c r="B29" s="4">
        <v>3.0</v>
      </c>
      <c r="C29" s="5" t="str">
        <f t="shared" si="1"/>
        <v>0 days 0 hours 1 minutes</v>
      </c>
      <c r="D29" s="12">
        <v>0.43</v>
      </c>
      <c r="E29" s="7"/>
      <c r="F29" s="7"/>
      <c r="G29" s="7"/>
      <c r="H29" s="13">
        <v>56.0</v>
      </c>
      <c r="I29" s="14">
        <v>0.0</v>
      </c>
      <c r="J29" s="9"/>
      <c r="K29" s="9"/>
      <c r="L29" s="9"/>
      <c r="M29" s="14" t="s">
        <v>17</v>
      </c>
      <c r="N29" s="10">
        <f t="shared" si="2"/>
        <v>56</v>
      </c>
      <c r="O29" s="10">
        <f t="shared" si="3"/>
        <v>81</v>
      </c>
      <c r="P29" s="16"/>
    </row>
    <row r="30">
      <c r="A30" s="3" t="s">
        <v>27</v>
      </c>
      <c r="B30" s="4">
        <v>4.0</v>
      </c>
      <c r="C30" s="5" t="str">
        <f t="shared" si="1"/>
        <v>1 days 6 hours 10 minutes</v>
      </c>
      <c r="D30" s="12">
        <v>0.43</v>
      </c>
      <c r="E30" s="7"/>
      <c r="F30" s="11">
        <v>21.0</v>
      </c>
      <c r="G30" s="11">
        <v>5.0</v>
      </c>
      <c r="H30" s="13">
        <v>50.0</v>
      </c>
      <c r="I30" s="14">
        <v>0.0</v>
      </c>
      <c r="J30" s="9"/>
      <c r="K30" s="9"/>
      <c r="L30" s="9"/>
      <c r="M30" s="14" t="s">
        <v>17</v>
      </c>
      <c r="N30" s="10">
        <f t="shared" si="2"/>
        <v>75950</v>
      </c>
      <c r="O30" s="10">
        <f t="shared" si="3"/>
        <v>108609</v>
      </c>
    </row>
    <row r="31">
      <c r="A31" s="3" t="s">
        <v>27</v>
      </c>
      <c r="B31" s="4">
        <v>5.0</v>
      </c>
      <c r="C31" s="5" t="str">
        <f t="shared" si="1"/>
        <v>1 days 9 hours 20 minutes</v>
      </c>
      <c r="D31" s="12">
        <v>0.58</v>
      </c>
      <c r="E31" s="7"/>
      <c r="F31" s="11">
        <v>21.0</v>
      </c>
      <c r="G31" s="11">
        <v>5.0</v>
      </c>
      <c r="H31" s="13">
        <v>50.0</v>
      </c>
      <c r="I31" s="14">
        <v>0.0</v>
      </c>
      <c r="J31" s="9"/>
      <c r="K31" s="9"/>
      <c r="L31" s="9"/>
      <c r="M31" s="14" t="s">
        <v>17</v>
      </c>
      <c r="N31" s="10">
        <f t="shared" si="2"/>
        <v>75950</v>
      </c>
      <c r="O31" s="10">
        <f t="shared" si="3"/>
        <v>120001</v>
      </c>
      <c r="P31" s="16"/>
    </row>
    <row r="32">
      <c r="A32" s="3" t="s">
        <v>27</v>
      </c>
      <c r="B32" s="4">
        <v>6.0</v>
      </c>
      <c r="C32" s="5" t="str">
        <f t="shared" si="1"/>
        <v>0 days 0 hours 2 minutes</v>
      </c>
      <c r="D32" s="12">
        <v>0.58</v>
      </c>
      <c r="E32" s="7"/>
      <c r="F32" s="7"/>
      <c r="G32" s="11">
        <v>1.0</v>
      </c>
      <c r="H32" s="13">
        <v>16.0</v>
      </c>
      <c r="I32" s="14">
        <v>0.0</v>
      </c>
      <c r="J32" s="9"/>
      <c r="K32" s="9"/>
      <c r="L32" s="9"/>
      <c r="M32" s="14" t="s">
        <v>17</v>
      </c>
      <c r="N32" s="10">
        <f t="shared" si="2"/>
        <v>76</v>
      </c>
      <c r="O32" s="10">
        <f t="shared" si="3"/>
        <v>121</v>
      </c>
      <c r="P32" s="16"/>
    </row>
    <row r="33">
      <c r="A33" s="3" t="s">
        <v>27</v>
      </c>
      <c r="B33" s="4">
        <v>7.0</v>
      </c>
      <c r="C33" s="5" t="str">
        <f t="shared" si="1"/>
        <v>0 days 0 hours 0 minutes</v>
      </c>
      <c r="D33" s="6"/>
      <c r="E33" s="7"/>
      <c r="F33" s="7"/>
      <c r="G33" s="7"/>
      <c r="H33" s="8"/>
      <c r="I33" s="14">
        <v>0.0</v>
      </c>
      <c r="J33" s="9"/>
      <c r="K33" s="9"/>
      <c r="L33" s="9"/>
      <c r="M33" s="14" t="s">
        <v>17</v>
      </c>
      <c r="N33" s="10">
        <f t="shared" si="2"/>
        <v>0</v>
      </c>
      <c r="O33" s="10">
        <f t="shared" si="3"/>
        <v>0</v>
      </c>
    </row>
    <row r="34">
      <c r="A34" s="3" t="s">
        <v>27</v>
      </c>
      <c r="B34" s="4">
        <v>8.0</v>
      </c>
      <c r="C34" s="5" t="str">
        <f t="shared" si="1"/>
        <v>0 days 0 hours 0 minutes</v>
      </c>
      <c r="D34" s="6"/>
      <c r="E34" s="7"/>
      <c r="F34" s="7"/>
      <c r="G34" s="7"/>
      <c r="H34" s="8"/>
      <c r="I34" s="14">
        <v>0.0</v>
      </c>
      <c r="J34" s="9"/>
      <c r="K34" s="9"/>
      <c r="L34" s="9"/>
      <c r="M34" s="14" t="s">
        <v>17</v>
      </c>
      <c r="N34" s="10">
        <f t="shared" si="2"/>
        <v>0</v>
      </c>
      <c r="O34" s="10">
        <f t="shared" si="3"/>
        <v>0</v>
      </c>
    </row>
    <row r="35">
      <c r="A35" s="3" t="s">
        <v>27</v>
      </c>
      <c r="B35" s="4">
        <v>9.0</v>
      </c>
      <c r="C35" s="5" t="str">
        <f t="shared" si="1"/>
        <v>0 days 0 hours 0 minutes</v>
      </c>
      <c r="D35" s="6"/>
      <c r="E35" s="7"/>
      <c r="F35" s="7"/>
      <c r="G35" s="7"/>
      <c r="H35" s="8"/>
      <c r="I35" s="14">
        <v>0.0</v>
      </c>
      <c r="J35" s="9"/>
      <c r="K35" s="9"/>
      <c r="L35" s="9"/>
      <c r="M35" s="14" t="s">
        <v>17</v>
      </c>
      <c r="N35" s="10">
        <f t="shared" si="2"/>
        <v>0</v>
      </c>
      <c r="O35" s="10">
        <f t="shared" si="3"/>
        <v>0</v>
      </c>
    </row>
    <row r="36">
      <c r="A36" s="3" t="s">
        <v>27</v>
      </c>
      <c r="B36" s="4">
        <v>10.0</v>
      </c>
      <c r="C36" s="5" t="str">
        <f t="shared" si="1"/>
        <v>0 days 0 hours 0 minutes</v>
      </c>
      <c r="D36" s="6"/>
      <c r="E36" s="7"/>
      <c r="F36" s="7"/>
      <c r="G36" s="7"/>
      <c r="H36" s="8"/>
      <c r="I36" s="14">
        <v>0.0</v>
      </c>
      <c r="J36" s="9"/>
      <c r="K36" s="9"/>
      <c r="L36" s="9"/>
      <c r="M36" s="14" t="s">
        <v>17</v>
      </c>
      <c r="N36" s="10">
        <f t="shared" si="2"/>
        <v>0</v>
      </c>
      <c r="O36" s="10">
        <f t="shared" si="3"/>
        <v>0</v>
      </c>
    </row>
    <row r="37">
      <c r="A37" s="3" t="s">
        <v>27</v>
      </c>
      <c r="B37" s="4">
        <v>11.0</v>
      </c>
      <c r="C37" s="5" t="str">
        <f t="shared" si="1"/>
        <v>0 days 0 hours 0 minutes</v>
      </c>
      <c r="D37" s="6"/>
      <c r="E37" s="7"/>
      <c r="F37" s="7"/>
      <c r="G37" s="7"/>
      <c r="H37" s="8"/>
      <c r="I37" s="14">
        <v>0.0</v>
      </c>
      <c r="J37" s="9"/>
      <c r="K37" s="9"/>
      <c r="L37" s="9"/>
      <c r="M37" s="14" t="s">
        <v>17</v>
      </c>
      <c r="N37" s="10">
        <f t="shared" si="2"/>
        <v>0</v>
      </c>
      <c r="O37" s="10">
        <f t="shared" si="3"/>
        <v>0</v>
      </c>
    </row>
    <row r="38">
      <c r="A38" s="3" t="s">
        <v>27</v>
      </c>
      <c r="B38" s="4">
        <v>12.0</v>
      </c>
      <c r="C38" s="5" t="str">
        <f t="shared" si="1"/>
        <v>0 days 0 hours 0 minutes</v>
      </c>
      <c r="D38" s="6"/>
      <c r="E38" s="7"/>
      <c r="F38" s="7"/>
      <c r="G38" s="7"/>
      <c r="H38" s="8"/>
      <c r="I38" s="14">
        <v>0.0</v>
      </c>
      <c r="J38" s="9"/>
      <c r="K38" s="9"/>
      <c r="L38" s="9"/>
      <c r="M38" s="14" t="s">
        <v>17</v>
      </c>
      <c r="N38" s="10">
        <f t="shared" si="2"/>
        <v>0</v>
      </c>
      <c r="O38" s="10">
        <f t="shared" si="3"/>
        <v>0</v>
      </c>
    </row>
    <row r="39">
      <c r="A39" s="3" t="s">
        <v>27</v>
      </c>
      <c r="B39" s="4">
        <v>13.0</v>
      </c>
      <c r="C39" s="5" t="str">
        <f t="shared" si="1"/>
        <v>0 days 0 hours 0 minutes</v>
      </c>
      <c r="D39" s="6"/>
      <c r="E39" s="7"/>
      <c r="F39" s="7"/>
      <c r="G39" s="7"/>
      <c r="H39" s="8"/>
      <c r="I39" s="14">
        <v>0.0</v>
      </c>
      <c r="J39" s="9"/>
      <c r="K39" s="9"/>
      <c r="L39" s="9"/>
      <c r="M39" s="14" t="s">
        <v>17</v>
      </c>
      <c r="N39" s="10">
        <f t="shared" si="2"/>
        <v>0</v>
      </c>
      <c r="O39" s="10">
        <f t="shared" si="3"/>
        <v>0</v>
      </c>
    </row>
    <row r="40">
      <c r="A40" s="3" t="s">
        <v>27</v>
      </c>
      <c r="B40" s="4">
        <v>14.0</v>
      </c>
      <c r="C40" s="5" t="str">
        <f t="shared" si="1"/>
        <v>0 days 0 hours 0 minutes</v>
      </c>
      <c r="D40" s="6"/>
      <c r="E40" s="7"/>
      <c r="F40" s="7"/>
      <c r="G40" s="7"/>
      <c r="H40" s="8"/>
      <c r="I40" s="14">
        <v>0.0</v>
      </c>
      <c r="J40" s="9"/>
      <c r="K40" s="9"/>
      <c r="L40" s="9"/>
      <c r="M40" s="14" t="s">
        <v>17</v>
      </c>
      <c r="N40" s="10">
        <f t="shared" si="2"/>
        <v>0</v>
      </c>
      <c r="O40" s="10">
        <f t="shared" si="3"/>
        <v>0</v>
      </c>
    </row>
    <row r="41">
      <c r="A41" s="3" t="s">
        <v>27</v>
      </c>
      <c r="B41" s="4">
        <v>15.0</v>
      </c>
      <c r="C41" s="5" t="str">
        <f t="shared" si="1"/>
        <v>0 days 0 hours 0 minutes</v>
      </c>
      <c r="D41" s="6"/>
      <c r="E41" s="7"/>
      <c r="F41" s="7"/>
      <c r="G41" s="7"/>
      <c r="H41" s="8"/>
      <c r="I41" s="14">
        <v>0.0</v>
      </c>
      <c r="J41" s="9"/>
      <c r="K41" s="9"/>
      <c r="L41" s="9"/>
      <c r="M41" s="14" t="s">
        <v>17</v>
      </c>
      <c r="N41" s="10">
        <f t="shared" si="2"/>
        <v>0</v>
      </c>
      <c r="O41" s="10">
        <f t="shared" si="3"/>
        <v>0</v>
      </c>
    </row>
    <row r="42">
      <c r="A42" s="3" t="s">
        <v>27</v>
      </c>
      <c r="B42" s="4">
        <v>16.0</v>
      </c>
      <c r="C42" s="5" t="str">
        <f t="shared" si="1"/>
        <v>0 days 0 hours 0 minutes</v>
      </c>
      <c r="D42" s="6"/>
      <c r="E42" s="7"/>
      <c r="F42" s="7"/>
      <c r="G42" s="7"/>
      <c r="H42" s="8"/>
      <c r="I42" s="14">
        <v>0.0</v>
      </c>
      <c r="J42" s="14">
        <v>98000.0</v>
      </c>
      <c r="K42" s="14">
        <v>73500.0</v>
      </c>
      <c r="L42" s="14">
        <v>9000.0</v>
      </c>
      <c r="M42" s="14" t="s">
        <v>17</v>
      </c>
      <c r="N42" s="10">
        <f t="shared" si="2"/>
        <v>0</v>
      </c>
      <c r="O42" s="10">
        <f t="shared" si="3"/>
        <v>0</v>
      </c>
    </row>
    <row r="43">
      <c r="A43" s="3" t="s">
        <v>27</v>
      </c>
      <c r="B43" s="4">
        <v>17.0</v>
      </c>
      <c r="C43" s="5" t="str">
        <f t="shared" si="1"/>
        <v>0 days 18 hours 3 minutes</v>
      </c>
      <c r="D43" s="12">
        <v>0.56</v>
      </c>
      <c r="E43" s="11">
        <v>0.0</v>
      </c>
      <c r="F43" s="11">
        <v>11.0</v>
      </c>
      <c r="G43" s="11">
        <v>34.0</v>
      </c>
      <c r="H43" s="13">
        <v>27.0</v>
      </c>
      <c r="I43" s="14">
        <v>0.0</v>
      </c>
      <c r="J43" s="14">
        <v>147000.0</v>
      </c>
      <c r="K43" s="14">
        <v>111000.0</v>
      </c>
      <c r="L43" s="14">
        <v>14000.0</v>
      </c>
      <c r="M43" s="14" t="s">
        <v>17</v>
      </c>
      <c r="N43" s="10">
        <f t="shared" si="2"/>
        <v>41667</v>
      </c>
      <c r="O43" s="10">
        <f t="shared" si="3"/>
        <v>65001</v>
      </c>
    </row>
    <row r="44">
      <c r="A44" s="3" t="s">
        <v>27</v>
      </c>
      <c r="B44" s="4">
        <v>18.0</v>
      </c>
      <c r="C44" s="5" t="str">
        <f t="shared" si="1"/>
        <v>0 days 0 hours 0 minutes</v>
      </c>
      <c r="D44" s="6"/>
      <c r="E44" s="7"/>
      <c r="F44" s="7"/>
      <c r="G44" s="7"/>
      <c r="H44" s="8"/>
      <c r="I44" s="14">
        <v>0.0</v>
      </c>
      <c r="J44" s="14">
        <v>235000.0</v>
      </c>
      <c r="K44" s="14">
        <v>176000.0</v>
      </c>
      <c r="L44" s="14">
        <v>22000.0</v>
      </c>
      <c r="M44" s="14" t="s">
        <v>17</v>
      </c>
      <c r="N44" s="10">
        <f t="shared" si="2"/>
        <v>0</v>
      </c>
      <c r="O44" s="10">
        <f t="shared" si="3"/>
        <v>0</v>
      </c>
    </row>
    <row r="45">
      <c r="A45" s="3" t="s">
        <v>27</v>
      </c>
      <c r="B45" s="4">
        <v>19.0</v>
      </c>
      <c r="C45" s="5" t="str">
        <f t="shared" si="1"/>
        <v>0 days 0 hours 0 minutes</v>
      </c>
      <c r="D45" s="6"/>
      <c r="E45" s="7"/>
      <c r="F45" s="7"/>
      <c r="G45" s="7"/>
      <c r="H45" s="8"/>
      <c r="I45" s="14">
        <v>0.0</v>
      </c>
      <c r="J45" s="9"/>
      <c r="K45" s="9"/>
      <c r="L45" s="9"/>
      <c r="M45" s="14" t="s">
        <v>17</v>
      </c>
      <c r="N45" s="10">
        <f t="shared" si="2"/>
        <v>0</v>
      </c>
      <c r="O45" s="10">
        <f t="shared" si="3"/>
        <v>0</v>
      </c>
    </row>
    <row r="46">
      <c r="A46" s="3" t="s">
        <v>27</v>
      </c>
      <c r="B46" s="4">
        <v>20.0</v>
      </c>
      <c r="C46" s="5" t="str">
        <f t="shared" si="1"/>
        <v>0 days 0 hours 0 minutes</v>
      </c>
      <c r="D46" s="6"/>
      <c r="E46" s="7"/>
      <c r="F46" s="7"/>
      <c r="G46" s="7"/>
      <c r="H46" s="8"/>
      <c r="I46" s="14">
        <v>0.0</v>
      </c>
      <c r="J46" s="9"/>
      <c r="K46" s="9"/>
      <c r="L46" s="9"/>
      <c r="M46" s="14" t="s">
        <v>17</v>
      </c>
      <c r="N46" s="10">
        <f t="shared" si="2"/>
        <v>0</v>
      </c>
      <c r="O46" s="10">
        <f t="shared" si="3"/>
        <v>0</v>
      </c>
    </row>
    <row r="47">
      <c r="A47" s="3" t="s">
        <v>27</v>
      </c>
      <c r="B47" s="4">
        <v>21.0</v>
      </c>
      <c r="C47" s="5" t="str">
        <f t="shared" si="1"/>
        <v>0 days 0 hours 0 minutes</v>
      </c>
      <c r="D47" s="6"/>
      <c r="E47" s="7"/>
      <c r="F47" s="7"/>
      <c r="G47" s="7"/>
      <c r="H47" s="8"/>
      <c r="I47" s="14">
        <v>0.0</v>
      </c>
      <c r="J47" s="9"/>
      <c r="K47" s="9"/>
      <c r="L47" s="9"/>
      <c r="M47" s="14" t="s">
        <v>17</v>
      </c>
      <c r="N47" s="10">
        <f t="shared" si="2"/>
        <v>0</v>
      </c>
      <c r="O47" s="10">
        <f t="shared" si="3"/>
        <v>0</v>
      </c>
    </row>
    <row r="48">
      <c r="A48" s="3" t="s">
        <v>27</v>
      </c>
      <c r="B48" s="4">
        <v>22.0</v>
      </c>
      <c r="C48" s="5" t="str">
        <f t="shared" si="1"/>
        <v>0 days 0 hours 0 minutes</v>
      </c>
      <c r="D48" s="6"/>
      <c r="E48" s="7"/>
      <c r="F48" s="7"/>
      <c r="G48" s="7"/>
      <c r="H48" s="8"/>
      <c r="I48" s="14">
        <v>0.0</v>
      </c>
      <c r="J48" s="9"/>
      <c r="K48" s="9"/>
      <c r="L48" s="9"/>
      <c r="M48" s="14" t="s">
        <v>17</v>
      </c>
      <c r="N48" s="10">
        <f t="shared" si="2"/>
        <v>0</v>
      </c>
      <c r="O48" s="10">
        <f t="shared" si="3"/>
        <v>0</v>
      </c>
    </row>
    <row r="49">
      <c r="A49" s="3" t="s">
        <v>27</v>
      </c>
      <c r="B49" s="4">
        <v>23.0</v>
      </c>
      <c r="C49" s="5" t="str">
        <f t="shared" si="1"/>
        <v>3 days 5 hours 46 minutes</v>
      </c>
      <c r="D49" s="12">
        <v>0.71</v>
      </c>
      <c r="E49" s="11">
        <v>1.0</v>
      </c>
      <c r="F49" s="11">
        <v>21.0</v>
      </c>
      <c r="G49" s="11">
        <v>29.0</v>
      </c>
      <c r="H49" s="13">
        <v>3.0</v>
      </c>
      <c r="I49" s="14">
        <v>0.0</v>
      </c>
      <c r="J49" s="14">
        <v>1900000.0</v>
      </c>
      <c r="K49" s="14">
        <v>1400000.0</v>
      </c>
      <c r="L49" s="14">
        <v>170000.0</v>
      </c>
      <c r="M49" s="14" t="s">
        <v>17</v>
      </c>
      <c r="N49" s="10">
        <f t="shared" si="2"/>
        <v>163743</v>
      </c>
      <c r="O49" s="10">
        <f t="shared" si="3"/>
        <v>280001</v>
      </c>
    </row>
    <row r="50">
      <c r="A50" s="3" t="s">
        <v>27</v>
      </c>
      <c r="B50" s="4">
        <v>24.0</v>
      </c>
      <c r="C50" s="5" t="str">
        <f t="shared" si="1"/>
        <v>4 days 1 hours 13 minutes</v>
      </c>
      <c r="D50" s="12">
        <v>0.7</v>
      </c>
      <c r="E50" s="11">
        <v>2.0</v>
      </c>
      <c r="F50" s="11">
        <v>9.0</v>
      </c>
      <c r="G50" s="11">
        <v>11.0</v>
      </c>
      <c r="H50" s="13">
        <v>23.0</v>
      </c>
      <c r="I50" s="14">
        <v>0.0</v>
      </c>
      <c r="J50" s="14">
        <v>3000000.0</v>
      </c>
      <c r="K50" s="14">
        <v>2200000.0</v>
      </c>
      <c r="L50" s="14">
        <v>270000.0</v>
      </c>
      <c r="M50" s="14" t="s">
        <v>17</v>
      </c>
      <c r="N50" s="10">
        <f t="shared" si="2"/>
        <v>205883</v>
      </c>
      <c r="O50" s="10">
        <f t="shared" si="3"/>
        <v>350002</v>
      </c>
    </row>
    <row r="51">
      <c r="A51" s="3" t="s">
        <v>27</v>
      </c>
      <c r="B51" s="4">
        <v>25.0</v>
      </c>
      <c r="C51" s="5" t="str">
        <f t="shared" si="1"/>
        <v>0 days 0 hours 0 minutes</v>
      </c>
      <c r="D51" s="12"/>
      <c r="E51" s="11"/>
      <c r="F51" s="11"/>
      <c r="G51" s="11"/>
      <c r="H51" s="13"/>
      <c r="I51" s="14">
        <v>0.0</v>
      </c>
      <c r="J51" s="9"/>
      <c r="K51" s="9"/>
      <c r="L51" s="9"/>
      <c r="M51" s="14" t="s">
        <v>17</v>
      </c>
      <c r="N51" s="10">
        <f t="shared" si="2"/>
        <v>0</v>
      </c>
      <c r="O51" s="10">
        <f t="shared" si="3"/>
        <v>0</v>
      </c>
    </row>
    <row r="52">
      <c r="A52" s="18" t="s">
        <v>28</v>
      </c>
      <c r="B52" s="19">
        <v>1.0</v>
      </c>
      <c r="C52" s="20" t="str">
        <f t="shared" si="1"/>
        <v>0 days 0 hours 0 minutes</v>
      </c>
      <c r="D52" s="21"/>
      <c r="E52" s="22"/>
      <c r="F52" s="22"/>
      <c r="G52" s="22"/>
      <c r="H52" s="23"/>
      <c r="I52" s="24"/>
      <c r="J52" s="24"/>
      <c r="K52" s="24"/>
      <c r="L52" s="24"/>
      <c r="M52" s="24"/>
      <c r="N52" s="25">
        <f t="shared" si="2"/>
        <v>0</v>
      </c>
      <c r="O52" s="25">
        <f t="shared" si="3"/>
        <v>0</v>
      </c>
    </row>
    <row r="53">
      <c r="A53" s="3" t="s">
        <v>28</v>
      </c>
      <c r="B53" s="4">
        <v>2.0</v>
      </c>
      <c r="C53" s="5" t="str">
        <f t="shared" si="1"/>
        <v>0 days 0 hours 0 minutes</v>
      </c>
      <c r="D53" s="6"/>
      <c r="E53" s="7"/>
      <c r="F53" s="7"/>
      <c r="G53" s="7"/>
      <c r="H53" s="8"/>
      <c r="I53" s="14"/>
      <c r="J53" s="14">
        <v>0.0</v>
      </c>
      <c r="K53" s="14"/>
      <c r="L53" s="14"/>
      <c r="M53" s="14" t="s">
        <v>17</v>
      </c>
      <c r="N53" s="10">
        <f t="shared" si="2"/>
        <v>0</v>
      </c>
      <c r="O53" s="10">
        <f t="shared" si="3"/>
        <v>0</v>
      </c>
    </row>
    <row r="54">
      <c r="A54" s="3" t="s">
        <v>28</v>
      </c>
      <c r="B54" s="4">
        <v>3.0</v>
      </c>
      <c r="C54" s="5" t="str">
        <f t="shared" si="1"/>
        <v>0 days 0 hours 0 minutes</v>
      </c>
      <c r="D54" s="6"/>
      <c r="E54" s="7"/>
      <c r="F54" s="7"/>
      <c r="G54" s="7"/>
      <c r="H54" s="8"/>
      <c r="I54" s="9"/>
      <c r="J54" s="14">
        <v>0.0</v>
      </c>
      <c r="K54" s="9"/>
      <c r="L54" s="9"/>
      <c r="M54" s="14" t="s">
        <v>17</v>
      </c>
      <c r="N54" s="10">
        <f t="shared" si="2"/>
        <v>0</v>
      </c>
      <c r="O54" s="10">
        <f t="shared" si="3"/>
        <v>0</v>
      </c>
    </row>
    <row r="55">
      <c r="A55" s="3" t="s">
        <v>28</v>
      </c>
      <c r="B55" s="4">
        <v>4.0</v>
      </c>
      <c r="C55" s="5" t="str">
        <f t="shared" si="1"/>
        <v>0 days 0 hours 0 minutes</v>
      </c>
      <c r="D55" s="6"/>
      <c r="E55" s="7"/>
      <c r="F55" s="7"/>
      <c r="G55" s="7"/>
      <c r="H55" s="8"/>
      <c r="I55" s="9"/>
      <c r="J55" s="14">
        <v>0.0</v>
      </c>
      <c r="K55" s="9"/>
      <c r="L55" s="9"/>
      <c r="M55" s="14" t="s">
        <v>17</v>
      </c>
      <c r="N55" s="10">
        <f t="shared" si="2"/>
        <v>0</v>
      </c>
      <c r="O55" s="10">
        <f t="shared" si="3"/>
        <v>0</v>
      </c>
    </row>
    <row r="56">
      <c r="A56" s="3" t="s">
        <v>28</v>
      </c>
      <c r="B56" s="4">
        <v>5.0</v>
      </c>
      <c r="C56" s="5" t="str">
        <f t="shared" si="1"/>
        <v>0 days 0 hours 0 minutes</v>
      </c>
      <c r="D56" s="6"/>
      <c r="E56" s="7"/>
      <c r="F56" s="7"/>
      <c r="G56" s="7"/>
      <c r="H56" s="8"/>
      <c r="I56" s="9"/>
      <c r="J56" s="14">
        <v>0.0</v>
      </c>
      <c r="K56" s="9"/>
      <c r="L56" s="9"/>
      <c r="M56" s="14" t="s">
        <v>17</v>
      </c>
      <c r="N56" s="10">
        <f t="shared" si="2"/>
        <v>0</v>
      </c>
      <c r="O56" s="10">
        <f t="shared" si="3"/>
        <v>0</v>
      </c>
    </row>
    <row r="57">
      <c r="A57" s="3" t="s">
        <v>28</v>
      </c>
      <c r="B57" s="4">
        <v>6.0</v>
      </c>
      <c r="C57" s="5" t="str">
        <f t="shared" si="1"/>
        <v>0 days 0 hours 0 minutes</v>
      </c>
      <c r="D57" s="6"/>
      <c r="E57" s="7"/>
      <c r="F57" s="7"/>
      <c r="G57" s="7"/>
      <c r="H57" s="8"/>
      <c r="I57" s="9"/>
      <c r="J57" s="14">
        <v>0.0</v>
      </c>
      <c r="K57" s="9"/>
      <c r="L57" s="9"/>
      <c r="M57" s="14" t="s">
        <v>17</v>
      </c>
      <c r="N57" s="10">
        <f t="shared" si="2"/>
        <v>0</v>
      </c>
      <c r="O57" s="10">
        <f t="shared" si="3"/>
        <v>0</v>
      </c>
    </row>
    <row r="58">
      <c r="A58" s="3" t="s">
        <v>28</v>
      </c>
      <c r="B58" s="4">
        <v>7.0</v>
      </c>
      <c r="C58" s="5" t="str">
        <f t="shared" si="1"/>
        <v>0 days 0 hours 0 minutes</v>
      </c>
      <c r="D58" s="6"/>
      <c r="E58" s="7"/>
      <c r="F58" s="7"/>
      <c r="G58" s="7"/>
      <c r="H58" s="8"/>
      <c r="I58" s="9"/>
      <c r="J58" s="14">
        <v>0.0</v>
      </c>
      <c r="K58" s="9"/>
      <c r="L58" s="9"/>
      <c r="M58" s="14" t="s">
        <v>17</v>
      </c>
      <c r="N58" s="10">
        <f t="shared" si="2"/>
        <v>0</v>
      </c>
      <c r="O58" s="10">
        <f t="shared" si="3"/>
        <v>0</v>
      </c>
    </row>
    <row r="59">
      <c r="A59" s="3" t="s">
        <v>28</v>
      </c>
      <c r="B59" s="4">
        <v>8.0</v>
      </c>
      <c r="C59" s="5" t="str">
        <f t="shared" si="1"/>
        <v>0 days 0 hours 0 minutes</v>
      </c>
      <c r="D59" s="6"/>
      <c r="E59" s="7"/>
      <c r="F59" s="7"/>
      <c r="G59" s="7"/>
      <c r="H59" s="8"/>
      <c r="I59" s="9"/>
      <c r="J59" s="14">
        <v>0.0</v>
      </c>
      <c r="K59" s="9"/>
      <c r="L59" s="9"/>
      <c r="M59" s="14" t="s">
        <v>17</v>
      </c>
      <c r="N59" s="10">
        <f t="shared" si="2"/>
        <v>0</v>
      </c>
      <c r="O59" s="10">
        <f t="shared" si="3"/>
        <v>0</v>
      </c>
    </row>
    <row r="60">
      <c r="A60" s="3" t="s">
        <v>28</v>
      </c>
      <c r="B60" s="4">
        <v>9.0</v>
      </c>
      <c r="C60" s="5" t="str">
        <f t="shared" si="1"/>
        <v>0 days 0 hours 0 minutes</v>
      </c>
      <c r="D60" s="6"/>
      <c r="E60" s="7"/>
      <c r="F60" s="7"/>
      <c r="G60" s="7"/>
      <c r="H60" s="8"/>
      <c r="I60" s="9"/>
      <c r="J60" s="14">
        <v>0.0</v>
      </c>
      <c r="K60" s="9"/>
      <c r="L60" s="9"/>
      <c r="M60" s="14" t="s">
        <v>17</v>
      </c>
      <c r="N60" s="10">
        <f t="shared" si="2"/>
        <v>0</v>
      </c>
      <c r="O60" s="10">
        <f t="shared" si="3"/>
        <v>0</v>
      </c>
    </row>
    <row r="61">
      <c r="A61" s="3" t="s">
        <v>28</v>
      </c>
      <c r="B61" s="4">
        <v>10.0</v>
      </c>
      <c r="C61" s="5" t="str">
        <f t="shared" si="1"/>
        <v>0 days 0 hours 0 minutes</v>
      </c>
      <c r="D61" s="6"/>
      <c r="E61" s="7"/>
      <c r="F61" s="7"/>
      <c r="G61" s="7"/>
      <c r="H61" s="8"/>
      <c r="I61" s="9"/>
      <c r="J61" s="14">
        <v>0.0</v>
      </c>
      <c r="K61" s="9"/>
      <c r="L61" s="9"/>
      <c r="M61" s="14" t="s">
        <v>17</v>
      </c>
      <c r="N61" s="10">
        <f t="shared" si="2"/>
        <v>0</v>
      </c>
      <c r="O61" s="10">
        <f t="shared" si="3"/>
        <v>0</v>
      </c>
    </row>
    <row r="62">
      <c r="A62" s="3" t="s">
        <v>28</v>
      </c>
      <c r="B62" s="4">
        <v>11.0</v>
      </c>
      <c r="C62" s="5" t="str">
        <f t="shared" si="1"/>
        <v>0 days 3 hours 0 minutes</v>
      </c>
      <c r="D62" s="12">
        <v>0.56</v>
      </c>
      <c r="E62" s="11">
        <v>0.0</v>
      </c>
      <c r="F62" s="11">
        <v>1.0</v>
      </c>
      <c r="G62" s="11">
        <v>55.0</v>
      </c>
      <c r="H62" s="13">
        <v>24.0</v>
      </c>
      <c r="I62" s="14">
        <v>13000.0</v>
      </c>
      <c r="J62" s="14">
        <v>0.0</v>
      </c>
      <c r="K62" s="14">
        <v>10000.0</v>
      </c>
      <c r="L62" s="14">
        <v>500.0</v>
      </c>
      <c r="M62" s="14" t="s">
        <v>17</v>
      </c>
      <c r="N62" s="10">
        <f t="shared" si="2"/>
        <v>6924</v>
      </c>
      <c r="O62" s="10">
        <f t="shared" si="3"/>
        <v>10802</v>
      </c>
    </row>
    <row r="63">
      <c r="A63" s="3" t="s">
        <v>28</v>
      </c>
      <c r="B63" s="4">
        <v>12.0</v>
      </c>
      <c r="C63" s="5" t="str">
        <f t="shared" si="1"/>
        <v>0 days 0 hours 0 minutes</v>
      </c>
      <c r="D63" s="6"/>
      <c r="E63" s="7"/>
      <c r="F63" s="7"/>
      <c r="G63" s="7"/>
      <c r="H63" s="8"/>
      <c r="I63" s="9"/>
      <c r="J63" s="14">
        <v>0.0</v>
      </c>
      <c r="K63" s="9"/>
      <c r="L63" s="9"/>
      <c r="M63" s="14" t="s">
        <v>17</v>
      </c>
      <c r="N63" s="10">
        <f t="shared" si="2"/>
        <v>0</v>
      </c>
      <c r="O63" s="10">
        <f t="shared" si="3"/>
        <v>0</v>
      </c>
    </row>
    <row r="64">
      <c r="A64" s="3" t="s">
        <v>28</v>
      </c>
      <c r="B64" s="4">
        <v>13.0</v>
      </c>
      <c r="C64" s="5" t="str">
        <f t="shared" si="1"/>
        <v>0 days 0 hours 0 minutes</v>
      </c>
      <c r="D64" s="6"/>
      <c r="E64" s="7"/>
      <c r="F64" s="7"/>
      <c r="G64" s="7"/>
      <c r="H64" s="8"/>
      <c r="I64" s="9"/>
      <c r="J64" s="14">
        <v>0.0</v>
      </c>
      <c r="K64" s="9"/>
      <c r="L64" s="9"/>
      <c r="M64" s="14" t="s">
        <v>17</v>
      </c>
      <c r="N64" s="10">
        <f t="shared" si="2"/>
        <v>0</v>
      </c>
      <c r="O64" s="10">
        <f t="shared" si="3"/>
        <v>0</v>
      </c>
    </row>
    <row r="65">
      <c r="A65" s="3" t="s">
        <v>28</v>
      </c>
      <c r="B65" s="4">
        <v>14.0</v>
      </c>
      <c r="C65" s="5" t="str">
        <f t="shared" si="1"/>
        <v>0 days 0 hours 0 minutes</v>
      </c>
      <c r="D65" s="6"/>
      <c r="E65" s="7"/>
      <c r="F65" s="7"/>
      <c r="G65" s="7"/>
      <c r="H65" s="8"/>
      <c r="I65" s="9"/>
      <c r="J65" s="14">
        <v>0.0</v>
      </c>
      <c r="K65" s="9"/>
      <c r="L65" s="9"/>
      <c r="M65" s="14" t="s">
        <v>17</v>
      </c>
      <c r="N65" s="10">
        <f t="shared" si="2"/>
        <v>0</v>
      </c>
      <c r="O65" s="10">
        <f t="shared" si="3"/>
        <v>0</v>
      </c>
    </row>
    <row r="66">
      <c r="A66" s="3" t="s">
        <v>28</v>
      </c>
      <c r="B66" s="4">
        <v>15.0</v>
      </c>
      <c r="C66" s="5" t="str">
        <f t="shared" si="1"/>
        <v>0 days 0 hours 0 minutes</v>
      </c>
      <c r="D66" s="6"/>
      <c r="E66" s="7"/>
      <c r="F66" s="7"/>
      <c r="G66" s="7"/>
      <c r="H66" s="8"/>
      <c r="I66" s="9"/>
      <c r="J66" s="14">
        <v>0.0</v>
      </c>
      <c r="K66" s="9"/>
      <c r="L66" s="9"/>
      <c r="M66" s="14" t="s">
        <v>17</v>
      </c>
      <c r="N66" s="10">
        <f t="shared" si="2"/>
        <v>0</v>
      </c>
      <c r="O66" s="10">
        <f t="shared" si="3"/>
        <v>0</v>
      </c>
    </row>
    <row r="67">
      <c r="A67" s="3" t="s">
        <v>28</v>
      </c>
      <c r="B67" s="4">
        <v>16.0</v>
      </c>
      <c r="C67" s="5" t="str">
        <f t="shared" si="1"/>
        <v>0 days 0 hours 0 minutes</v>
      </c>
      <c r="D67" s="6"/>
      <c r="E67" s="7"/>
      <c r="F67" s="7"/>
      <c r="G67" s="7"/>
      <c r="H67" s="8"/>
      <c r="I67" s="9"/>
      <c r="J67" s="14">
        <v>0.0</v>
      </c>
      <c r="K67" s="9"/>
      <c r="L67" s="9"/>
      <c r="M67" s="14" t="s">
        <v>17</v>
      </c>
      <c r="N67" s="10">
        <f t="shared" si="2"/>
        <v>0</v>
      </c>
      <c r="O67" s="10">
        <f t="shared" si="3"/>
        <v>0</v>
      </c>
    </row>
    <row r="68">
      <c r="A68" s="3" t="s">
        <v>28</v>
      </c>
      <c r="B68" s="4">
        <v>17.0</v>
      </c>
      <c r="C68" s="5" t="str">
        <f t="shared" si="1"/>
        <v>0 days 0 hours 0 minutes</v>
      </c>
      <c r="D68" s="6"/>
      <c r="E68" s="7"/>
      <c r="F68" s="7"/>
      <c r="G68" s="7"/>
      <c r="H68" s="8"/>
      <c r="I68" s="9"/>
      <c r="J68" s="14">
        <v>0.0</v>
      </c>
      <c r="K68" s="9"/>
      <c r="L68" s="9"/>
      <c r="M68" s="14" t="s">
        <v>17</v>
      </c>
      <c r="N68" s="10">
        <f t="shared" si="2"/>
        <v>0</v>
      </c>
      <c r="O68" s="10">
        <f t="shared" si="3"/>
        <v>0</v>
      </c>
    </row>
    <row r="69">
      <c r="A69" s="3" t="s">
        <v>28</v>
      </c>
      <c r="B69" s="4">
        <v>18.0</v>
      </c>
      <c r="C69" s="5" t="str">
        <f t="shared" si="1"/>
        <v>0 days 22 hours 13 minutes</v>
      </c>
      <c r="D69" s="12">
        <v>0.56</v>
      </c>
      <c r="E69" s="11">
        <v>0.0</v>
      </c>
      <c r="F69" s="11">
        <v>14.0</v>
      </c>
      <c r="G69" s="11">
        <v>14.0</v>
      </c>
      <c r="H69" s="13">
        <v>43.0</v>
      </c>
      <c r="I69" s="14">
        <v>235000.0</v>
      </c>
      <c r="J69" s="14">
        <v>0.0</v>
      </c>
      <c r="K69" s="14">
        <v>176000.0</v>
      </c>
      <c r="L69" s="14">
        <v>22000.0</v>
      </c>
      <c r="M69" s="14" t="s">
        <v>17</v>
      </c>
      <c r="N69" s="10">
        <f t="shared" si="2"/>
        <v>51283</v>
      </c>
      <c r="O69" s="10">
        <f t="shared" si="3"/>
        <v>80002</v>
      </c>
    </row>
    <row r="70">
      <c r="A70" s="3" t="s">
        <v>28</v>
      </c>
      <c r="B70" s="4">
        <v>19.0</v>
      </c>
      <c r="C70" s="5" t="str">
        <f t="shared" si="1"/>
        <v>0 days 0 hours 0 minutes</v>
      </c>
      <c r="D70" s="6"/>
      <c r="E70" s="7"/>
      <c r="F70" s="7"/>
      <c r="G70" s="7"/>
      <c r="H70" s="8"/>
      <c r="I70" s="9"/>
      <c r="J70" s="14">
        <v>0.0</v>
      </c>
      <c r="K70" s="9"/>
      <c r="L70" s="9"/>
      <c r="M70" s="14" t="s">
        <v>17</v>
      </c>
      <c r="N70" s="10">
        <f t="shared" si="2"/>
        <v>0</v>
      </c>
      <c r="O70" s="10">
        <f t="shared" si="3"/>
        <v>0</v>
      </c>
    </row>
    <row r="71">
      <c r="A71" s="3" t="s">
        <v>28</v>
      </c>
      <c r="B71" s="4">
        <v>20.0</v>
      </c>
      <c r="C71" s="5" t="str">
        <f t="shared" si="1"/>
        <v>0 days 0 hours 0 minutes</v>
      </c>
      <c r="D71" s="6"/>
      <c r="E71" s="7"/>
      <c r="F71" s="7"/>
      <c r="G71" s="7"/>
      <c r="H71" s="8"/>
      <c r="I71" s="9"/>
      <c r="J71" s="14">
        <v>0.0</v>
      </c>
      <c r="K71" s="9"/>
      <c r="L71" s="9"/>
      <c r="M71" s="14" t="s">
        <v>17</v>
      </c>
      <c r="N71" s="10">
        <f t="shared" si="2"/>
        <v>0</v>
      </c>
      <c r="O71" s="10">
        <f t="shared" si="3"/>
        <v>0</v>
      </c>
    </row>
    <row r="72">
      <c r="A72" s="3" t="s">
        <v>28</v>
      </c>
      <c r="B72" s="4">
        <v>21.0</v>
      </c>
      <c r="C72" s="5" t="str">
        <f t="shared" si="1"/>
        <v>0 days 0 hours 0 minutes</v>
      </c>
      <c r="D72" s="6"/>
      <c r="E72" s="7"/>
      <c r="F72" s="7"/>
      <c r="G72" s="7"/>
      <c r="H72" s="8"/>
      <c r="I72" s="9"/>
      <c r="J72" s="14">
        <v>0.0</v>
      </c>
      <c r="K72" s="9"/>
      <c r="L72" s="9"/>
      <c r="M72" s="14" t="s">
        <v>17</v>
      </c>
      <c r="N72" s="10">
        <f t="shared" si="2"/>
        <v>0</v>
      </c>
      <c r="O72" s="10">
        <f t="shared" si="3"/>
        <v>0</v>
      </c>
    </row>
    <row r="73">
      <c r="A73" s="3" t="s">
        <v>28</v>
      </c>
      <c r="B73" s="4">
        <v>22.0</v>
      </c>
      <c r="C73" s="5" t="str">
        <f t="shared" si="1"/>
        <v>0 days 0 hours 0 minutes</v>
      </c>
      <c r="D73" s="6"/>
      <c r="E73" s="7"/>
      <c r="F73" s="7"/>
      <c r="G73" s="7"/>
      <c r="H73" s="8"/>
      <c r="I73" s="9"/>
      <c r="J73" s="14">
        <v>0.0</v>
      </c>
      <c r="K73" s="9"/>
      <c r="L73" s="9"/>
      <c r="M73" s="14" t="s">
        <v>17</v>
      </c>
      <c r="N73" s="10">
        <f t="shared" si="2"/>
        <v>0</v>
      </c>
      <c r="O73" s="10">
        <f t="shared" si="3"/>
        <v>0</v>
      </c>
    </row>
    <row r="74">
      <c r="A74" s="3" t="s">
        <v>28</v>
      </c>
      <c r="B74" s="4">
        <v>23.0</v>
      </c>
      <c r="C74" s="5" t="str">
        <f t="shared" si="1"/>
        <v>3 days 5 hours 46 minutes</v>
      </c>
      <c r="D74" s="12">
        <v>0.71</v>
      </c>
      <c r="E74" s="11">
        <v>1.0</v>
      </c>
      <c r="F74" s="11">
        <v>21.0</v>
      </c>
      <c r="G74" s="11">
        <v>29.0</v>
      </c>
      <c r="H74" s="13">
        <v>3.0</v>
      </c>
      <c r="I74" s="14">
        <v>1900000.0</v>
      </c>
      <c r="J74" s="14">
        <v>0.0</v>
      </c>
      <c r="K74" s="14">
        <v>1400000.0</v>
      </c>
      <c r="L74" s="14">
        <v>170000.0</v>
      </c>
      <c r="M74" s="14" t="s">
        <v>17</v>
      </c>
      <c r="N74" s="10">
        <f t="shared" si="2"/>
        <v>163743</v>
      </c>
      <c r="O74" s="10">
        <f t="shared" si="3"/>
        <v>280001</v>
      </c>
    </row>
    <row r="75">
      <c r="A75" s="3" t="s">
        <v>28</v>
      </c>
      <c r="B75" s="4">
        <v>24.0</v>
      </c>
      <c r="C75" s="5" t="str">
        <f t="shared" si="1"/>
        <v>4 days 1 hours 13 minutes</v>
      </c>
      <c r="D75" s="12">
        <v>0.7</v>
      </c>
      <c r="E75" s="11">
        <v>2.0</v>
      </c>
      <c r="F75" s="11">
        <v>9.0</v>
      </c>
      <c r="G75" s="11">
        <v>11.0</v>
      </c>
      <c r="H75" s="13">
        <v>23.0</v>
      </c>
      <c r="I75" s="14">
        <v>3000000.0</v>
      </c>
      <c r="J75" s="14">
        <v>0.0</v>
      </c>
      <c r="K75" s="14">
        <v>2200000.0</v>
      </c>
      <c r="L75" s="14">
        <v>270000.0</v>
      </c>
      <c r="M75" s="14" t="s">
        <v>17</v>
      </c>
      <c r="N75" s="10">
        <f t="shared" si="2"/>
        <v>205883</v>
      </c>
      <c r="O75" s="10">
        <f t="shared" si="3"/>
        <v>350002</v>
      </c>
    </row>
    <row r="76">
      <c r="A76" s="3" t="s">
        <v>28</v>
      </c>
      <c r="B76" s="4">
        <v>25.0</v>
      </c>
      <c r="C76" s="5" t="str">
        <f t="shared" si="1"/>
        <v>0 days 0 hours 0 minutes</v>
      </c>
      <c r="D76" s="6"/>
      <c r="E76" s="7"/>
      <c r="F76" s="7"/>
      <c r="G76" s="7"/>
      <c r="H76" s="8"/>
      <c r="I76" s="9"/>
      <c r="J76" s="14">
        <v>0.0</v>
      </c>
      <c r="K76" s="9"/>
      <c r="L76" s="9"/>
      <c r="M76" s="14" t="s">
        <v>17</v>
      </c>
      <c r="N76" s="10">
        <f t="shared" si="2"/>
        <v>0</v>
      </c>
      <c r="O76" s="10">
        <f t="shared" si="3"/>
        <v>0</v>
      </c>
    </row>
    <row r="77">
      <c r="A77" s="18" t="s">
        <v>29</v>
      </c>
      <c r="B77" s="19">
        <v>1.0</v>
      </c>
      <c r="C77" s="20" t="str">
        <f t="shared" si="1"/>
        <v>0 days 0 hours 0 minutes</v>
      </c>
      <c r="D77" s="21"/>
      <c r="E77" s="22"/>
      <c r="F77" s="22"/>
      <c r="G77" s="22"/>
      <c r="H77" s="23"/>
      <c r="I77" s="24"/>
      <c r="J77" s="24"/>
      <c r="K77" s="24"/>
      <c r="L77" s="24"/>
      <c r="M77" s="24"/>
      <c r="N77" s="25">
        <f t="shared" si="2"/>
        <v>0</v>
      </c>
      <c r="O77" s="25">
        <f t="shared" si="3"/>
        <v>0</v>
      </c>
    </row>
    <row r="78">
      <c r="A78" s="3" t="s">
        <v>29</v>
      </c>
      <c r="B78" s="4">
        <v>2.0</v>
      </c>
      <c r="C78" s="5" t="str">
        <f t="shared" si="1"/>
        <v>0 days 0 hours 0 minutes</v>
      </c>
      <c r="D78" s="6"/>
      <c r="E78" s="7"/>
      <c r="F78" s="7"/>
      <c r="G78" s="7"/>
      <c r="H78" s="8"/>
      <c r="I78" s="14"/>
      <c r="J78" s="14"/>
      <c r="K78" s="14">
        <v>0.0</v>
      </c>
      <c r="L78" s="14">
        <v>0.0</v>
      </c>
      <c r="M78" s="14" t="s">
        <v>17</v>
      </c>
      <c r="N78" s="10">
        <f t="shared" si="2"/>
        <v>0</v>
      </c>
      <c r="O78" s="10">
        <f t="shared" si="3"/>
        <v>0</v>
      </c>
    </row>
    <row r="79">
      <c r="A79" s="3" t="s">
        <v>29</v>
      </c>
      <c r="B79" s="4">
        <v>3.0</v>
      </c>
      <c r="C79" s="5" t="str">
        <f t="shared" si="1"/>
        <v>0 days 0 hours 0 minutes</v>
      </c>
      <c r="D79" s="6"/>
      <c r="E79" s="7"/>
      <c r="F79" s="7"/>
      <c r="G79" s="7"/>
      <c r="H79" s="8"/>
      <c r="I79" s="9"/>
      <c r="J79" s="9"/>
      <c r="K79" s="14">
        <v>0.0</v>
      </c>
      <c r="L79" s="14">
        <v>0.0</v>
      </c>
      <c r="M79" s="14" t="s">
        <v>17</v>
      </c>
      <c r="N79" s="10">
        <f t="shared" si="2"/>
        <v>0</v>
      </c>
      <c r="O79" s="10">
        <f t="shared" si="3"/>
        <v>0</v>
      </c>
    </row>
    <row r="80">
      <c r="A80" s="3" t="s">
        <v>29</v>
      </c>
      <c r="B80" s="4">
        <v>4.0</v>
      </c>
      <c r="C80" s="5" t="str">
        <f t="shared" si="1"/>
        <v>0 days 0 hours 0 minutes</v>
      </c>
      <c r="D80" s="6"/>
      <c r="E80" s="7"/>
      <c r="F80" s="7"/>
      <c r="G80" s="7"/>
      <c r="H80" s="8"/>
      <c r="I80" s="9"/>
      <c r="J80" s="9"/>
      <c r="K80" s="14">
        <v>0.0</v>
      </c>
      <c r="L80" s="14">
        <v>0.0</v>
      </c>
      <c r="M80" s="14" t="s">
        <v>17</v>
      </c>
      <c r="N80" s="10">
        <f t="shared" si="2"/>
        <v>0</v>
      </c>
      <c r="O80" s="10">
        <f t="shared" si="3"/>
        <v>0</v>
      </c>
    </row>
    <row r="81">
      <c r="A81" s="3" t="s">
        <v>29</v>
      </c>
      <c r="B81" s="4">
        <v>5.0</v>
      </c>
      <c r="C81" s="5" t="str">
        <f t="shared" si="1"/>
        <v>0 days 0 hours 0 minutes</v>
      </c>
      <c r="D81" s="6"/>
      <c r="E81" s="7"/>
      <c r="F81" s="7"/>
      <c r="G81" s="7"/>
      <c r="H81" s="8"/>
      <c r="I81" s="9"/>
      <c r="J81" s="9"/>
      <c r="K81" s="14">
        <v>0.0</v>
      </c>
      <c r="L81" s="14">
        <v>0.0</v>
      </c>
      <c r="M81" s="14" t="s">
        <v>17</v>
      </c>
      <c r="N81" s="10">
        <f t="shared" si="2"/>
        <v>0</v>
      </c>
      <c r="O81" s="10">
        <f t="shared" si="3"/>
        <v>0</v>
      </c>
    </row>
    <row r="82">
      <c r="A82" s="3" t="s">
        <v>29</v>
      </c>
      <c r="B82" s="4">
        <v>6.0</v>
      </c>
      <c r="C82" s="5" t="str">
        <f t="shared" si="1"/>
        <v>0 days 0 hours 0 minutes</v>
      </c>
      <c r="D82" s="12"/>
      <c r="E82" s="7"/>
      <c r="F82" s="7"/>
      <c r="G82" s="7"/>
      <c r="H82" s="8"/>
      <c r="I82" s="9"/>
      <c r="J82" s="9"/>
      <c r="K82" s="14">
        <v>0.0</v>
      </c>
      <c r="L82" s="14">
        <v>0.0</v>
      </c>
      <c r="M82" s="14" t="s">
        <v>17</v>
      </c>
      <c r="N82" s="10">
        <f t="shared" si="2"/>
        <v>0</v>
      </c>
      <c r="O82" s="10">
        <f t="shared" si="3"/>
        <v>0</v>
      </c>
    </row>
    <row r="83">
      <c r="A83" s="3" t="s">
        <v>29</v>
      </c>
      <c r="B83" s="4">
        <v>7.0</v>
      </c>
      <c r="C83" s="5" t="str">
        <f t="shared" si="1"/>
        <v>0 days 1 hours 10 minutes</v>
      </c>
      <c r="D83" s="12">
        <v>0.71</v>
      </c>
      <c r="E83" s="11">
        <v>0.0</v>
      </c>
      <c r="F83" s="11">
        <v>0.0</v>
      </c>
      <c r="G83" s="11">
        <v>40.0</v>
      </c>
      <c r="H83" s="13">
        <v>57.0</v>
      </c>
      <c r="I83" s="14">
        <v>5300.0</v>
      </c>
      <c r="J83" s="14">
        <v>5300.0</v>
      </c>
      <c r="K83" s="14">
        <v>0.0</v>
      </c>
      <c r="L83" s="14">
        <v>0.0</v>
      </c>
      <c r="M83" s="14" t="s">
        <v>17</v>
      </c>
      <c r="N83" s="10">
        <f t="shared" si="2"/>
        <v>2457</v>
      </c>
      <c r="O83" s="10">
        <f t="shared" si="3"/>
        <v>4202</v>
      </c>
    </row>
    <row r="84">
      <c r="A84" s="3" t="s">
        <v>29</v>
      </c>
      <c r="B84" s="4">
        <v>8.0</v>
      </c>
      <c r="C84" s="5" t="str">
        <f t="shared" si="1"/>
        <v>0 days 0 hours 0 minutes</v>
      </c>
      <c r="D84" s="6"/>
      <c r="E84" s="7"/>
      <c r="F84" s="7"/>
      <c r="G84" s="7"/>
      <c r="H84" s="8"/>
      <c r="I84" s="9"/>
      <c r="J84" s="9"/>
      <c r="K84" s="14">
        <v>0.0</v>
      </c>
      <c r="L84" s="14">
        <v>0.0</v>
      </c>
      <c r="M84" s="14" t="s">
        <v>17</v>
      </c>
      <c r="N84" s="10">
        <f t="shared" si="2"/>
        <v>0</v>
      </c>
      <c r="O84" s="10">
        <f t="shared" si="3"/>
        <v>0</v>
      </c>
    </row>
    <row r="85">
      <c r="A85" s="3" t="s">
        <v>29</v>
      </c>
      <c r="B85" s="4">
        <v>9.0</v>
      </c>
      <c r="C85" s="5" t="str">
        <f t="shared" si="1"/>
        <v>0 days 0 hours 0 minutes</v>
      </c>
      <c r="D85" s="6"/>
      <c r="E85" s="7"/>
      <c r="F85" s="7"/>
      <c r="G85" s="7"/>
      <c r="H85" s="8"/>
      <c r="I85" s="9"/>
      <c r="J85" s="9"/>
      <c r="K85" s="14">
        <v>0.0</v>
      </c>
      <c r="L85" s="14">
        <v>0.0</v>
      </c>
      <c r="M85" s="14" t="s">
        <v>17</v>
      </c>
      <c r="N85" s="10">
        <f t="shared" si="2"/>
        <v>0</v>
      </c>
      <c r="O85" s="10">
        <f t="shared" si="3"/>
        <v>0</v>
      </c>
    </row>
    <row r="86">
      <c r="A86" s="3" t="s">
        <v>29</v>
      </c>
      <c r="B86" s="4">
        <v>10.0</v>
      </c>
      <c r="C86" s="5" t="str">
        <f t="shared" si="1"/>
        <v>0 days 2 hours 24 minutes</v>
      </c>
      <c r="D86" s="12">
        <v>0.71</v>
      </c>
      <c r="E86" s="11">
        <v>0.0</v>
      </c>
      <c r="F86" s="11">
        <v>1.0</v>
      </c>
      <c r="G86" s="11">
        <v>24.0</v>
      </c>
      <c r="H86" s="13">
        <v>13.0</v>
      </c>
      <c r="I86" s="14">
        <v>17500.0</v>
      </c>
      <c r="J86" s="14">
        <v>17500.0</v>
      </c>
      <c r="K86" s="14">
        <v>0.0</v>
      </c>
      <c r="L86" s="14">
        <v>0.0</v>
      </c>
      <c r="M86" s="14" t="s">
        <v>17</v>
      </c>
      <c r="N86" s="10">
        <f t="shared" si="2"/>
        <v>5053</v>
      </c>
      <c r="O86" s="10">
        <f t="shared" si="3"/>
        <v>8641</v>
      </c>
    </row>
    <row r="87">
      <c r="A87" s="3" t="s">
        <v>29</v>
      </c>
      <c r="B87" s="4">
        <v>11.0</v>
      </c>
      <c r="C87" s="5" t="str">
        <f t="shared" si="1"/>
        <v>0 days 0 hours 0 minutes</v>
      </c>
      <c r="D87" s="6"/>
      <c r="E87" s="7"/>
      <c r="F87" s="7"/>
      <c r="G87" s="7"/>
      <c r="H87" s="8"/>
      <c r="I87" s="9"/>
      <c r="J87" s="9"/>
      <c r="K87" s="14">
        <v>0.0</v>
      </c>
      <c r="L87" s="14"/>
      <c r="M87" s="14" t="s">
        <v>17</v>
      </c>
      <c r="N87" s="10">
        <f t="shared" si="2"/>
        <v>0</v>
      </c>
      <c r="O87" s="10">
        <f t="shared" si="3"/>
        <v>0</v>
      </c>
    </row>
    <row r="88">
      <c r="A88" s="3" t="s">
        <v>29</v>
      </c>
      <c r="B88" s="4">
        <v>12.0</v>
      </c>
      <c r="C88" s="5" t="str">
        <f t="shared" si="1"/>
        <v>0 days 0 hours 0 minutes</v>
      </c>
      <c r="D88" s="6"/>
      <c r="E88" s="7"/>
      <c r="F88" s="7"/>
      <c r="G88" s="7"/>
      <c r="H88" s="8"/>
      <c r="I88" s="9"/>
      <c r="J88" s="9"/>
      <c r="K88" s="14">
        <v>0.0</v>
      </c>
      <c r="L88" s="14"/>
      <c r="M88" s="14" t="s">
        <v>17</v>
      </c>
      <c r="N88" s="10">
        <f t="shared" si="2"/>
        <v>0</v>
      </c>
      <c r="O88" s="10">
        <f t="shared" si="3"/>
        <v>0</v>
      </c>
    </row>
    <row r="89">
      <c r="A89" s="3" t="s">
        <v>29</v>
      </c>
      <c r="B89" s="4">
        <v>13.0</v>
      </c>
      <c r="C89" s="5" t="str">
        <f t="shared" si="1"/>
        <v>0 days 0 hours 0 minutes</v>
      </c>
      <c r="D89" s="6"/>
      <c r="E89" s="7"/>
      <c r="F89" s="7"/>
      <c r="G89" s="7"/>
      <c r="H89" s="8"/>
      <c r="I89" s="9"/>
      <c r="J89" s="9"/>
      <c r="K89" s="14">
        <v>0.0</v>
      </c>
      <c r="L89" s="14"/>
      <c r="M89" s="14" t="s">
        <v>17</v>
      </c>
      <c r="N89" s="10">
        <f t="shared" si="2"/>
        <v>0</v>
      </c>
      <c r="O89" s="10">
        <f t="shared" si="3"/>
        <v>0</v>
      </c>
    </row>
    <row r="90">
      <c r="A90" s="3" t="s">
        <v>29</v>
      </c>
      <c r="B90" s="4">
        <v>14.0</v>
      </c>
      <c r="C90" s="5" t="str">
        <f t="shared" si="1"/>
        <v>0 days 0 hours 0 minutes</v>
      </c>
      <c r="D90" s="6"/>
      <c r="E90" s="7"/>
      <c r="F90" s="7"/>
      <c r="G90" s="7"/>
      <c r="H90" s="8"/>
      <c r="I90" s="9"/>
      <c r="J90" s="9"/>
      <c r="K90" s="14">
        <v>0.0</v>
      </c>
      <c r="L90" s="14"/>
      <c r="M90" s="14" t="s">
        <v>17</v>
      </c>
      <c r="N90" s="10">
        <f t="shared" si="2"/>
        <v>0</v>
      </c>
      <c r="O90" s="10">
        <f t="shared" si="3"/>
        <v>0</v>
      </c>
    </row>
    <row r="91">
      <c r="A91" s="3" t="s">
        <v>29</v>
      </c>
      <c r="B91" s="4">
        <v>15.0</v>
      </c>
      <c r="C91" s="5" t="str">
        <f t="shared" si="1"/>
        <v>0 days 0 hours 0 minutes</v>
      </c>
      <c r="D91" s="6"/>
      <c r="E91" s="7"/>
      <c r="F91" s="7"/>
      <c r="G91" s="7"/>
      <c r="H91" s="8"/>
      <c r="I91" s="9"/>
      <c r="J91" s="9"/>
      <c r="K91" s="14">
        <v>0.0</v>
      </c>
      <c r="L91" s="14"/>
      <c r="M91" s="14" t="s">
        <v>17</v>
      </c>
      <c r="N91" s="10">
        <f t="shared" si="2"/>
        <v>0</v>
      </c>
      <c r="O91" s="10">
        <f t="shared" si="3"/>
        <v>0</v>
      </c>
    </row>
    <row r="92">
      <c r="A92" s="3" t="s">
        <v>29</v>
      </c>
      <c r="B92" s="4">
        <v>16.0</v>
      </c>
      <c r="C92" s="5" t="str">
        <f t="shared" si="1"/>
        <v>0 days 0 hours 0 minutes</v>
      </c>
      <c r="D92" s="6"/>
      <c r="E92" s="7"/>
      <c r="F92" s="7"/>
      <c r="G92" s="7"/>
      <c r="H92" s="8"/>
      <c r="I92" s="9"/>
      <c r="J92" s="9"/>
      <c r="K92" s="14">
        <v>0.0</v>
      </c>
      <c r="L92" s="14"/>
      <c r="M92" s="14" t="s">
        <v>17</v>
      </c>
      <c r="N92" s="10">
        <f t="shared" si="2"/>
        <v>0</v>
      </c>
      <c r="O92" s="10">
        <f t="shared" si="3"/>
        <v>0</v>
      </c>
    </row>
    <row r="93">
      <c r="A93" s="3" t="s">
        <v>29</v>
      </c>
      <c r="B93" s="4">
        <v>17.0</v>
      </c>
      <c r="C93" s="5" t="str">
        <f t="shared" si="1"/>
        <v>0 days 0 hours 0 minutes</v>
      </c>
      <c r="D93" s="6"/>
      <c r="E93" s="7"/>
      <c r="F93" s="7"/>
      <c r="G93" s="7"/>
      <c r="H93" s="8"/>
      <c r="I93" s="9"/>
      <c r="J93" s="9"/>
      <c r="K93" s="14">
        <v>0.0</v>
      </c>
      <c r="L93" s="14"/>
      <c r="M93" s="14" t="s">
        <v>17</v>
      </c>
      <c r="N93" s="10">
        <f t="shared" si="2"/>
        <v>0</v>
      </c>
      <c r="O93" s="10">
        <f t="shared" si="3"/>
        <v>0</v>
      </c>
    </row>
    <row r="94">
      <c r="A94" s="3" t="s">
        <v>29</v>
      </c>
      <c r="B94" s="4">
        <v>18.0</v>
      </c>
      <c r="C94" s="5" t="str">
        <f t="shared" si="1"/>
        <v>0 days 0 hours 0 minutes</v>
      </c>
      <c r="D94" s="6"/>
      <c r="E94" s="7"/>
      <c r="F94" s="7"/>
      <c r="G94" s="7"/>
      <c r="H94" s="8"/>
      <c r="I94" s="14">
        <v>455000.0</v>
      </c>
      <c r="J94" s="14">
        <v>455000.0</v>
      </c>
      <c r="K94" s="14">
        <v>0.0</v>
      </c>
      <c r="L94" s="14"/>
      <c r="M94" s="14" t="s">
        <v>17</v>
      </c>
      <c r="N94" s="10">
        <f t="shared" si="2"/>
        <v>0</v>
      </c>
      <c r="O94" s="10">
        <f t="shared" si="3"/>
        <v>0</v>
      </c>
    </row>
    <row r="95">
      <c r="A95" s="3" t="s">
        <v>29</v>
      </c>
      <c r="B95" s="4">
        <v>19.0</v>
      </c>
      <c r="C95" s="5" t="str">
        <f t="shared" si="1"/>
        <v>0 days 0 hours 0 minutes</v>
      </c>
      <c r="D95" s="6"/>
      <c r="E95" s="7"/>
      <c r="F95" s="7"/>
      <c r="G95" s="7"/>
      <c r="H95" s="8"/>
      <c r="I95" s="9"/>
      <c r="J95" s="9"/>
      <c r="K95" s="14">
        <v>0.0</v>
      </c>
      <c r="L95" s="14"/>
      <c r="M95" s="14" t="s">
        <v>17</v>
      </c>
      <c r="N95" s="10">
        <f t="shared" si="2"/>
        <v>0</v>
      </c>
      <c r="O95" s="10">
        <f t="shared" si="3"/>
        <v>0</v>
      </c>
    </row>
    <row r="96">
      <c r="A96" s="3" t="s">
        <v>29</v>
      </c>
      <c r="B96" s="4">
        <v>20.0</v>
      </c>
      <c r="C96" s="5" t="str">
        <f t="shared" si="1"/>
        <v>0 days 0 hours 0 minutes</v>
      </c>
      <c r="D96" s="6"/>
      <c r="E96" s="7"/>
      <c r="F96" s="7"/>
      <c r="G96" s="7"/>
      <c r="H96" s="8"/>
      <c r="I96" s="14">
        <v>1000000.0</v>
      </c>
      <c r="J96" s="14">
        <v>1000000.0</v>
      </c>
      <c r="K96" s="14">
        <v>0.0</v>
      </c>
      <c r="L96" s="14">
        <v>96000.0</v>
      </c>
      <c r="M96" s="14" t="s">
        <v>17</v>
      </c>
      <c r="N96" s="10">
        <f t="shared" si="2"/>
        <v>0</v>
      </c>
      <c r="O96" s="10">
        <f t="shared" si="3"/>
        <v>0</v>
      </c>
    </row>
    <row r="97">
      <c r="A97" s="3" t="s">
        <v>29</v>
      </c>
      <c r="B97" s="4">
        <v>21.0</v>
      </c>
      <c r="C97" s="5" t="str">
        <f t="shared" si="1"/>
        <v>0 days 0 hours 0 minutes</v>
      </c>
      <c r="D97" s="6"/>
      <c r="E97" s="7"/>
      <c r="F97" s="7"/>
      <c r="G97" s="7"/>
      <c r="H97" s="8"/>
      <c r="I97" s="9"/>
      <c r="J97" s="9"/>
      <c r="K97" s="14">
        <v>0.0</v>
      </c>
      <c r="L97" s="14"/>
      <c r="M97" s="14" t="s">
        <v>17</v>
      </c>
      <c r="N97" s="10">
        <f t="shared" si="2"/>
        <v>0</v>
      </c>
      <c r="O97" s="10">
        <f t="shared" si="3"/>
        <v>0</v>
      </c>
    </row>
    <row r="98">
      <c r="A98" s="3" t="s">
        <v>29</v>
      </c>
      <c r="B98" s="4">
        <v>22.0</v>
      </c>
      <c r="C98" s="5" t="str">
        <f t="shared" si="1"/>
        <v>0 days 0 hours 0 minutes</v>
      </c>
      <c r="D98" s="6"/>
      <c r="E98" s="7"/>
      <c r="F98" s="7"/>
      <c r="G98" s="7"/>
      <c r="H98" s="8"/>
      <c r="I98" s="9"/>
      <c r="J98" s="9"/>
      <c r="K98" s="14">
        <v>0.0</v>
      </c>
      <c r="L98" s="9"/>
      <c r="M98" s="14" t="s">
        <v>17</v>
      </c>
      <c r="N98" s="10">
        <f t="shared" si="2"/>
        <v>0</v>
      </c>
      <c r="O98" s="10">
        <f t="shared" si="3"/>
        <v>0</v>
      </c>
    </row>
    <row r="99">
      <c r="A99" s="3" t="s">
        <v>29</v>
      </c>
      <c r="B99" s="4">
        <v>23.0</v>
      </c>
      <c r="C99" s="5" t="str">
        <f t="shared" si="1"/>
        <v>2 days 22 hours 0 minutes</v>
      </c>
      <c r="D99" s="12">
        <v>0.71</v>
      </c>
      <c r="E99" s="11">
        <v>1.0</v>
      </c>
      <c r="F99" s="11">
        <v>16.0</v>
      </c>
      <c r="G99" s="11">
        <v>56.0</v>
      </c>
      <c r="H99" s="13">
        <v>9.0</v>
      </c>
      <c r="I99" s="14">
        <v>3500000.0</v>
      </c>
      <c r="J99" s="14">
        <v>3500000.0</v>
      </c>
      <c r="K99" s="14">
        <v>0.0</v>
      </c>
      <c r="L99" s="14">
        <v>320000.0</v>
      </c>
      <c r="M99" s="14" t="s">
        <v>17</v>
      </c>
      <c r="N99" s="10">
        <f t="shared" si="2"/>
        <v>147369</v>
      </c>
      <c r="O99" s="10">
        <f t="shared" si="3"/>
        <v>252001</v>
      </c>
    </row>
    <row r="100">
      <c r="A100" s="3" t="s">
        <v>29</v>
      </c>
      <c r="B100" s="4">
        <v>24.0</v>
      </c>
      <c r="C100" s="5" t="str">
        <f t="shared" si="1"/>
        <v>3 days 21 hours 20 minutes</v>
      </c>
      <c r="D100" s="12">
        <v>0.7</v>
      </c>
      <c r="E100" s="11">
        <v>2.0</v>
      </c>
      <c r="F100" s="11">
        <v>6.0</v>
      </c>
      <c r="G100" s="11">
        <v>54.0</v>
      </c>
      <c r="H100" s="13">
        <v>8.0</v>
      </c>
      <c r="I100" s="14">
        <v>5400000.0</v>
      </c>
      <c r="J100" s="14">
        <v>5400000.0</v>
      </c>
      <c r="K100" s="14">
        <v>0.0</v>
      </c>
      <c r="L100" s="14">
        <v>500000.0</v>
      </c>
      <c r="M100" s="14" t="s">
        <v>17</v>
      </c>
      <c r="N100" s="10">
        <f t="shared" si="2"/>
        <v>197648</v>
      </c>
      <c r="O100" s="10">
        <f t="shared" si="3"/>
        <v>336002</v>
      </c>
    </row>
    <row r="101">
      <c r="A101" s="3" t="s">
        <v>29</v>
      </c>
      <c r="B101" s="4">
        <v>25.0</v>
      </c>
      <c r="C101" s="5" t="str">
        <f t="shared" si="1"/>
        <v>0 days 0 hours 0 minutes</v>
      </c>
      <c r="D101" s="6"/>
      <c r="E101" s="7"/>
      <c r="F101" s="7"/>
      <c r="G101" s="7"/>
      <c r="H101" s="8"/>
      <c r="I101" s="9"/>
      <c r="J101" s="9"/>
      <c r="K101" s="14">
        <v>0.0</v>
      </c>
      <c r="L101" s="9"/>
      <c r="M101" s="14" t="s">
        <v>17</v>
      </c>
      <c r="N101" s="10">
        <f t="shared" si="2"/>
        <v>0</v>
      </c>
      <c r="O101" s="10">
        <f t="shared" si="3"/>
        <v>0</v>
      </c>
    </row>
    <row r="102">
      <c r="A102" s="18" t="s">
        <v>30</v>
      </c>
      <c r="B102" s="19">
        <v>1.0</v>
      </c>
      <c r="C102" s="20" t="str">
        <f t="shared" si="1"/>
        <v>0 days 0 hours 0 minutes</v>
      </c>
      <c r="D102" s="21"/>
      <c r="E102" s="22"/>
      <c r="F102" s="22"/>
      <c r="G102" s="22"/>
      <c r="H102" s="23"/>
      <c r="I102" s="24"/>
      <c r="J102" s="24"/>
      <c r="K102" s="24"/>
      <c r="L102" s="24"/>
      <c r="M102" s="24"/>
      <c r="N102" s="25">
        <f t="shared" si="2"/>
        <v>0</v>
      </c>
      <c r="O102" s="25">
        <f t="shared" si="3"/>
        <v>0</v>
      </c>
    </row>
    <row r="103">
      <c r="A103" s="3" t="s">
        <v>30</v>
      </c>
      <c r="B103" s="4">
        <v>2.0</v>
      </c>
      <c r="C103" s="5" t="str">
        <f t="shared" si="1"/>
        <v>0 days 0 hours 0 minutes</v>
      </c>
      <c r="D103" s="6"/>
      <c r="E103" s="7"/>
      <c r="F103" s="7"/>
      <c r="G103" s="7"/>
      <c r="H103" s="8"/>
      <c r="I103" s="9"/>
      <c r="J103" s="9"/>
      <c r="K103" s="9"/>
      <c r="L103" s="14">
        <v>0.0</v>
      </c>
      <c r="M103" s="14" t="s">
        <v>17</v>
      </c>
      <c r="N103" s="10">
        <f t="shared" si="2"/>
        <v>0</v>
      </c>
      <c r="O103" s="10">
        <f t="shared" si="3"/>
        <v>0</v>
      </c>
    </row>
    <row r="104">
      <c r="A104" s="3" t="s">
        <v>30</v>
      </c>
      <c r="B104" s="4">
        <v>3.0</v>
      </c>
      <c r="C104" s="5" t="str">
        <f t="shared" si="1"/>
        <v>0 days 0 hours 0 minutes</v>
      </c>
      <c r="D104" s="6"/>
      <c r="E104" s="7"/>
      <c r="F104" s="7"/>
      <c r="G104" s="7"/>
      <c r="H104" s="8"/>
      <c r="I104" s="9"/>
      <c r="J104" s="9"/>
      <c r="K104" s="9"/>
      <c r="L104" s="14">
        <v>0.0</v>
      </c>
      <c r="M104" s="14" t="s">
        <v>17</v>
      </c>
      <c r="N104" s="10">
        <f t="shared" si="2"/>
        <v>0</v>
      </c>
      <c r="O104" s="10">
        <f t="shared" si="3"/>
        <v>0</v>
      </c>
    </row>
    <row r="105">
      <c r="A105" s="3" t="s">
        <v>30</v>
      </c>
      <c r="B105" s="4">
        <v>4.0</v>
      </c>
      <c r="C105" s="5" t="str">
        <f t="shared" si="1"/>
        <v>0 days 0 hours 0 minutes</v>
      </c>
      <c r="D105" s="6"/>
      <c r="E105" s="7"/>
      <c r="F105" s="7"/>
      <c r="G105" s="7"/>
      <c r="H105" s="8"/>
      <c r="I105" s="9"/>
      <c r="J105" s="9"/>
      <c r="K105" s="9"/>
      <c r="L105" s="14">
        <v>0.0</v>
      </c>
      <c r="M105" s="14" t="s">
        <v>17</v>
      </c>
      <c r="N105" s="10">
        <f t="shared" si="2"/>
        <v>0</v>
      </c>
      <c r="O105" s="10">
        <f t="shared" si="3"/>
        <v>0</v>
      </c>
    </row>
    <row r="106">
      <c r="A106" s="3" t="s">
        <v>30</v>
      </c>
      <c r="B106" s="4">
        <v>5.0</v>
      </c>
      <c r="C106" s="5" t="str">
        <f t="shared" si="1"/>
        <v>0 days 0 hours 0 minutes</v>
      </c>
      <c r="D106" s="6"/>
      <c r="E106" s="7"/>
      <c r="F106" s="7"/>
      <c r="G106" s="7"/>
      <c r="H106" s="8"/>
      <c r="I106" s="9"/>
      <c r="J106" s="9"/>
      <c r="K106" s="9"/>
      <c r="L106" s="14">
        <v>0.0</v>
      </c>
      <c r="M106" s="14" t="s">
        <v>17</v>
      </c>
      <c r="N106" s="10">
        <f t="shared" si="2"/>
        <v>0</v>
      </c>
      <c r="O106" s="10">
        <f t="shared" si="3"/>
        <v>0</v>
      </c>
    </row>
    <row r="107">
      <c r="A107" s="3" t="s">
        <v>30</v>
      </c>
      <c r="B107" s="4">
        <v>6.0</v>
      </c>
      <c r="C107" s="5" t="str">
        <f t="shared" si="1"/>
        <v>0 days 0 hours 0 minutes</v>
      </c>
      <c r="D107" s="6"/>
      <c r="E107" s="7"/>
      <c r="F107" s="7"/>
      <c r="G107" s="7"/>
      <c r="H107" s="8"/>
      <c r="I107" s="9"/>
      <c r="J107" s="9"/>
      <c r="K107" s="9"/>
      <c r="L107" s="14">
        <v>0.0</v>
      </c>
      <c r="M107" s="14" t="s">
        <v>17</v>
      </c>
      <c r="N107" s="10">
        <f t="shared" si="2"/>
        <v>0</v>
      </c>
      <c r="O107" s="10">
        <f t="shared" si="3"/>
        <v>0</v>
      </c>
    </row>
    <row r="108">
      <c r="A108" s="3" t="s">
        <v>30</v>
      </c>
      <c r="B108" s="4">
        <v>7.0</v>
      </c>
      <c r="C108" s="5" t="str">
        <f t="shared" si="1"/>
        <v>0 days 0 hours 0 minutes</v>
      </c>
      <c r="D108" s="6"/>
      <c r="E108" s="7"/>
      <c r="F108" s="7"/>
      <c r="G108" s="7"/>
      <c r="H108" s="8"/>
      <c r="I108" s="9"/>
      <c r="J108" s="9"/>
      <c r="K108" s="9"/>
      <c r="L108" s="14">
        <v>0.0</v>
      </c>
      <c r="M108" s="14" t="s">
        <v>17</v>
      </c>
      <c r="N108" s="10">
        <f t="shared" si="2"/>
        <v>0</v>
      </c>
      <c r="O108" s="10">
        <f t="shared" si="3"/>
        <v>0</v>
      </c>
    </row>
    <row r="109">
      <c r="A109" s="3" t="s">
        <v>30</v>
      </c>
      <c r="B109" s="4">
        <v>8.0</v>
      </c>
      <c r="C109" s="5" t="str">
        <f t="shared" si="1"/>
        <v>0 days 0 hours 0 minutes</v>
      </c>
      <c r="D109" s="6"/>
      <c r="E109" s="7"/>
      <c r="F109" s="7"/>
      <c r="G109" s="7"/>
      <c r="H109" s="8"/>
      <c r="I109" s="9"/>
      <c r="J109" s="9"/>
      <c r="K109" s="9"/>
      <c r="L109" s="14">
        <v>0.0</v>
      </c>
      <c r="M109" s="14" t="s">
        <v>17</v>
      </c>
      <c r="N109" s="10">
        <f t="shared" si="2"/>
        <v>0</v>
      </c>
      <c r="O109" s="10">
        <f t="shared" si="3"/>
        <v>0</v>
      </c>
    </row>
    <row r="110">
      <c r="A110" s="3" t="s">
        <v>30</v>
      </c>
      <c r="B110" s="4">
        <v>9.0</v>
      </c>
      <c r="C110" s="5" t="str">
        <f t="shared" si="1"/>
        <v>0 days 0 hours 0 minutes</v>
      </c>
      <c r="D110" s="6"/>
      <c r="E110" s="7"/>
      <c r="F110" s="7"/>
      <c r="G110" s="7"/>
      <c r="H110" s="8"/>
      <c r="I110" s="9"/>
      <c r="J110" s="9"/>
      <c r="K110" s="9"/>
      <c r="L110" s="14">
        <v>0.0</v>
      </c>
      <c r="M110" s="14" t="s">
        <v>17</v>
      </c>
      <c r="N110" s="10">
        <f t="shared" si="2"/>
        <v>0</v>
      </c>
      <c r="O110" s="10">
        <f t="shared" si="3"/>
        <v>0</v>
      </c>
    </row>
    <row r="111">
      <c r="A111" s="3" t="s">
        <v>30</v>
      </c>
      <c r="B111" s="4">
        <v>10.0</v>
      </c>
      <c r="C111" s="5" t="str">
        <f t="shared" si="1"/>
        <v>0 days 0 hours 0 minutes</v>
      </c>
      <c r="D111" s="6"/>
      <c r="E111" s="7"/>
      <c r="F111" s="7"/>
      <c r="G111" s="7"/>
      <c r="H111" s="8"/>
      <c r="I111" s="9"/>
      <c r="J111" s="9"/>
      <c r="K111" s="9"/>
      <c r="L111" s="14">
        <v>0.0</v>
      </c>
      <c r="M111" s="14" t="s">
        <v>17</v>
      </c>
      <c r="N111" s="10">
        <f t="shared" si="2"/>
        <v>0</v>
      </c>
      <c r="O111" s="10">
        <f t="shared" si="3"/>
        <v>0</v>
      </c>
    </row>
    <row r="112">
      <c r="A112" s="3" t="s">
        <v>30</v>
      </c>
      <c r="B112" s="4">
        <v>11.0</v>
      </c>
      <c r="C112" s="5" t="str">
        <f t="shared" si="1"/>
        <v>0 days 0 hours 0 minutes</v>
      </c>
      <c r="D112" s="6"/>
      <c r="E112" s="7"/>
      <c r="F112" s="7"/>
      <c r="G112" s="7"/>
      <c r="H112" s="8"/>
      <c r="I112" s="9"/>
      <c r="J112" s="9"/>
      <c r="K112" s="9"/>
      <c r="L112" s="14">
        <v>0.0</v>
      </c>
      <c r="M112" s="14" t="s">
        <v>17</v>
      </c>
      <c r="N112" s="10">
        <f t="shared" si="2"/>
        <v>0</v>
      </c>
      <c r="O112" s="10">
        <f t="shared" si="3"/>
        <v>0</v>
      </c>
    </row>
    <row r="113">
      <c r="A113" s="3" t="s">
        <v>30</v>
      </c>
      <c r="B113" s="4">
        <v>12.0</v>
      </c>
      <c r="C113" s="5" t="str">
        <f t="shared" si="1"/>
        <v>0 days 0 hours 0 minutes</v>
      </c>
      <c r="D113" s="6"/>
      <c r="E113" s="7"/>
      <c r="F113" s="7"/>
      <c r="G113" s="7"/>
      <c r="H113" s="8"/>
      <c r="I113" s="9"/>
      <c r="J113" s="9"/>
      <c r="K113" s="9"/>
      <c r="L113" s="14">
        <v>0.0</v>
      </c>
      <c r="M113" s="14" t="s">
        <v>17</v>
      </c>
      <c r="N113" s="10">
        <f t="shared" si="2"/>
        <v>0</v>
      </c>
      <c r="O113" s="10">
        <f t="shared" si="3"/>
        <v>0</v>
      </c>
    </row>
    <row r="114">
      <c r="A114" s="3" t="s">
        <v>30</v>
      </c>
      <c r="B114" s="4">
        <v>13.0</v>
      </c>
      <c r="C114" s="5" t="str">
        <f t="shared" si="1"/>
        <v>0 days 0 hours 0 minutes</v>
      </c>
      <c r="D114" s="6"/>
      <c r="E114" s="7"/>
      <c r="F114" s="7"/>
      <c r="G114" s="7"/>
      <c r="H114" s="8"/>
      <c r="I114" s="9"/>
      <c r="J114" s="9"/>
      <c r="K114" s="9"/>
      <c r="L114" s="14">
        <v>0.0</v>
      </c>
      <c r="M114" s="14" t="s">
        <v>17</v>
      </c>
      <c r="N114" s="10">
        <f t="shared" si="2"/>
        <v>0</v>
      </c>
      <c r="O114" s="10">
        <f t="shared" si="3"/>
        <v>0</v>
      </c>
    </row>
    <row r="115">
      <c r="A115" s="3" t="s">
        <v>30</v>
      </c>
      <c r="B115" s="4">
        <v>14.0</v>
      </c>
      <c r="C115" s="5" t="str">
        <f t="shared" si="1"/>
        <v>0 days 0 hours 0 minutes</v>
      </c>
      <c r="D115" s="6"/>
      <c r="E115" s="7"/>
      <c r="F115" s="7"/>
      <c r="G115" s="7"/>
      <c r="H115" s="8"/>
      <c r="I115" s="9"/>
      <c r="J115" s="9"/>
      <c r="K115" s="9"/>
      <c r="L115" s="14">
        <v>0.0</v>
      </c>
      <c r="M115" s="14" t="s">
        <v>17</v>
      </c>
      <c r="N115" s="10">
        <f t="shared" si="2"/>
        <v>0</v>
      </c>
      <c r="O115" s="10">
        <f t="shared" si="3"/>
        <v>0</v>
      </c>
    </row>
    <row r="116">
      <c r="A116" s="3" t="s">
        <v>30</v>
      </c>
      <c r="B116" s="4">
        <v>15.0</v>
      </c>
      <c r="C116" s="5" t="str">
        <f t="shared" si="1"/>
        <v>0 days 0 hours 0 minutes</v>
      </c>
      <c r="D116" s="6"/>
      <c r="E116" s="7"/>
      <c r="F116" s="7"/>
      <c r="G116" s="7"/>
      <c r="H116" s="8"/>
      <c r="I116" s="9"/>
      <c r="J116" s="9"/>
      <c r="K116" s="9"/>
      <c r="L116" s="14">
        <v>0.0</v>
      </c>
      <c r="M116" s="14" t="s">
        <v>17</v>
      </c>
      <c r="N116" s="10">
        <f t="shared" si="2"/>
        <v>0</v>
      </c>
      <c r="O116" s="10">
        <f t="shared" si="3"/>
        <v>0</v>
      </c>
    </row>
    <row r="117">
      <c r="A117" s="3" t="s">
        <v>30</v>
      </c>
      <c r="B117" s="4">
        <v>16.0</v>
      </c>
      <c r="C117" s="5" t="str">
        <f t="shared" si="1"/>
        <v>0 days 0 hours 0 minutes</v>
      </c>
      <c r="D117" s="6"/>
      <c r="E117" s="7"/>
      <c r="F117" s="7"/>
      <c r="G117" s="7"/>
      <c r="H117" s="8"/>
      <c r="I117" s="9"/>
      <c r="J117" s="9"/>
      <c r="K117" s="9"/>
      <c r="L117" s="14">
        <v>0.0</v>
      </c>
      <c r="M117" s="14" t="s">
        <v>17</v>
      </c>
      <c r="N117" s="10">
        <f t="shared" si="2"/>
        <v>0</v>
      </c>
      <c r="O117" s="10">
        <f t="shared" si="3"/>
        <v>0</v>
      </c>
    </row>
    <row r="118">
      <c r="A118" s="3" t="s">
        <v>30</v>
      </c>
      <c r="B118" s="4">
        <v>17.0</v>
      </c>
      <c r="C118" s="5" t="str">
        <f t="shared" si="1"/>
        <v>0 days 0 hours 0 minutes</v>
      </c>
      <c r="D118" s="6"/>
      <c r="E118" s="7"/>
      <c r="F118" s="7"/>
      <c r="G118" s="7"/>
      <c r="H118" s="8"/>
      <c r="I118" s="14">
        <v>1300000.0</v>
      </c>
      <c r="J118" s="14">
        <v>1300000.0</v>
      </c>
      <c r="K118" s="14">
        <v>973000.0</v>
      </c>
      <c r="L118" s="14">
        <v>0.0</v>
      </c>
      <c r="M118" s="14" t="s">
        <v>17</v>
      </c>
      <c r="N118" s="10">
        <f t="shared" si="2"/>
        <v>0</v>
      </c>
      <c r="O118" s="10">
        <f t="shared" si="3"/>
        <v>0</v>
      </c>
    </row>
    <row r="119">
      <c r="A119" s="3" t="s">
        <v>30</v>
      </c>
      <c r="B119" s="4">
        <v>18.0</v>
      </c>
      <c r="C119" s="5" t="str">
        <f t="shared" si="1"/>
        <v>0 days 0 hours 0 minutes</v>
      </c>
      <c r="D119" s="6"/>
      <c r="E119" s="7"/>
      <c r="F119" s="7"/>
      <c r="G119" s="7"/>
      <c r="H119" s="8"/>
      <c r="I119" s="9"/>
      <c r="J119" s="9"/>
      <c r="K119" s="9"/>
      <c r="L119" s="14">
        <v>0.0</v>
      </c>
      <c r="M119" s="14" t="s">
        <v>17</v>
      </c>
      <c r="N119" s="10">
        <f t="shared" si="2"/>
        <v>0</v>
      </c>
      <c r="O119" s="10">
        <f t="shared" si="3"/>
        <v>0</v>
      </c>
    </row>
    <row r="120">
      <c r="A120" s="3" t="s">
        <v>30</v>
      </c>
      <c r="B120" s="4">
        <v>19.0</v>
      </c>
      <c r="C120" s="5" t="str">
        <f t="shared" si="1"/>
        <v>1 days 6 hours 40 minutes</v>
      </c>
      <c r="D120" s="12">
        <v>0.85</v>
      </c>
      <c r="E120" s="11">
        <v>0.0</v>
      </c>
      <c r="F120" s="11">
        <v>16.0</v>
      </c>
      <c r="G120" s="11">
        <v>34.0</v>
      </c>
      <c r="H120" s="13">
        <v>36.0</v>
      </c>
      <c r="I120" s="14">
        <v>2900000.0</v>
      </c>
      <c r="J120" s="14">
        <v>2900000.0</v>
      </c>
      <c r="K120" s="14">
        <v>2200000.0</v>
      </c>
      <c r="L120" s="14">
        <v>0.0</v>
      </c>
      <c r="M120" s="14" t="s">
        <v>17</v>
      </c>
      <c r="N120" s="10">
        <f t="shared" si="2"/>
        <v>59676</v>
      </c>
      <c r="O120" s="10">
        <f t="shared" si="3"/>
        <v>110401</v>
      </c>
    </row>
    <row r="121">
      <c r="A121" s="3" t="s">
        <v>30</v>
      </c>
      <c r="B121" s="4">
        <v>20.0</v>
      </c>
      <c r="C121" s="5" t="str">
        <f t="shared" si="1"/>
        <v>1 days 14 hours 20 minutes</v>
      </c>
      <c r="D121" s="12">
        <v>0.85</v>
      </c>
      <c r="E121" s="11">
        <v>0.0</v>
      </c>
      <c r="F121" s="11">
        <v>20.0</v>
      </c>
      <c r="G121" s="11">
        <v>43.0</v>
      </c>
      <c r="H121" s="13">
        <v>15.0</v>
      </c>
      <c r="I121" s="14">
        <v>4400000.0</v>
      </c>
      <c r="J121" s="14">
        <v>4400000.0</v>
      </c>
      <c r="K121" s="14">
        <v>3300000.0</v>
      </c>
      <c r="L121" s="14">
        <v>0.0</v>
      </c>
      <c r="M121" s="14" t="s">
        <v>17</v>
      </c>
      <c r="N121" s="10">
        <f t="shared" si="2"/>
        <v>74595</v>
      </c>
      <c r="O121" s="10">
        <f t="shared" si="3"/>
        <v>138001</v>
      </c>
    </row>
    <row r="122">
      <c r="A122" s="3" t="s">
        <v>30</v>
      </c>
      <c r="B122" s="4">
        <v>21.0</v>
      </c>
      <c r="C122" s="5" t="str">
        <f t="shared" si="1"/>
        <v>0 days 0 hours 0 minutes</v>
      </c>
      <c r="D122" s="12"/>
      <c r="E122" s="11"/>
      <c r="F122" s="11"/>
      <c r="G122" s="11"/>
      <c r="H122" s="13"/>
      <c r="I122" s="9"/>
      <c r="J122" s="9"/>
      <c r="K122" s="9"/>
      <c r="L122" s="14">
        <v>0.0</v>
      </c>
      <c r="M122" s="14" t="s">
        <v>17</v>
      </c>
      <c r="N122" s="10">
        <f t="shared" si="2"/>
        <v>0</v>
      </c>
      <c r="O122" s="10">
        <f t="shared" si="3"/>
        <v>0</v>
      </c>
    </row>
    <row r="123">
      <c r="A123" s="3" t="s">
        <v>30</v>
      </c>
      <c r="B123" s="4">
        <v>22.0</v>
      </c>
      <c r="C123" s="5" t="str">
        <f t="shared" si="1"/>
        <v>2 days 13 hours 20 minutes</v>
      </c>
      <c r="D123" s="12">
        <v>0.85</v>
      </c>
      <c r="E123" s="11">
        <v>1.0</v>
      </c>
      <c r="F123" s="11">
        <v>9.0</v>
      </c>
      <c r="G123" s="11">
        <v>9.0</v>
      </c>
      <c r="H123" s="13">
        <v>11.0</v>
      </c>
      <c r="I123" s="14">
        <v>9900000.0</v>
      </c>
      <c r="J123" s="14">
        <v>9900000.0</v>
      </c>
      <c r="K123" s="14">
        <v>7500000.0</v>
      </c>
      <c r="L123" s="14">
        <v>0.0</v>
      </c>
      <c r="M123" s="14" t="s">
        <v>17</v>
      </c>
      <c r="N123" s="10">
        <f t="shared" si="2"/>
        <v>119351</v>
      </c>
      <c r="O123" s="10">
        <f t="shared" si="3"/>
        <v>220800</v>
      </c>
    </row>
    <row r="124">
      <c r="A124" s="3" t="s">
        <v>30</v>
      </c>
      <c r="B124" s="4">
        <v>23.0</v>
      </c>
      <c r="C124" s="5" t="str">
        <f t="shared" si="1"/>
        <v>3 days 8 hours 30 minutes</v>
      </c>
      <c r="D124" s="12">
        <v>0.71</v>
      </c>
      <c r="E124" s="11">
        <v>1.0</v>
      </c>
      <c r="F124" s="11">
        <v>23.0</v>
      </c>
      <c r="G124" s="11">
        <v>4.0</v>
      </c>
      <c r="H124" s="13">
        <v>34.0</v>
      </c>
      <c r="I124" s="14">
        <v>1.49E7</v>
      </c>
      <c r="J124" s="14">
        <v>1.49E7</v>
      </c>
      <c r="K124" s="14">
        <v>1.12E7</v>
      </c>
      <c r="L124" s="14">
        <v>0.0</v>
      </c>
      <c r="M124" s="14" t="s">
        <v>17</v>
      </c>
      <c r="N124" s="10">
        <f t="shared" si="2"/>
        <v>169474</v>
      </c>
      <c r="O124" s="10">
        <f t="shared" si="3"/>
        <v>289801</v>
      </c>
    </row>
    <row r="125">
      <c r="A125" s="3" t="s">
        <v>30</v>
      </c>
      <c r="B125" s="4">
        <v>24.0</v>
      </c>
      <c r="C125" s="5" t="str">
        <f t="shared" si="1"/>
        <v>4 days 11 hours 20 minutes</v>
      </c>
      <c r="D125" s="12">
        <v>0.7</v>
      </c>
      <c r="E125" s="11">
        <v>2.0</v>
      </c>
      <c r="F125" s="11">
        <v>15.0</v>
      </c>
      <c r="G125" s="11">
        <v>8.0</v>
      </c>
      <c r="H125" s="13">
        <v>14.0</v>
      </c>
      <c r="I125" s="14">
        <v>2.25E7</v>
      </c>
      <c r="J125" s="14">
        <v>2.25E7</v>
      </c>
      <c r="K125" s="14">
        <v>1.69E7</v>
      </c>
      <c r="L125" s="14">
        <v>0.0</v>
      </c>
      <c r="M125" s="14" t="s">
        <v>17</v>
      </c>
      <c r="N125" s="10">
        <f t="shared" si="2"/>
        <v>227294</v>
      </c>
      <c r="O125" s="10">
        <f t="shared" si="3"/>
        <v>386400</v>
      </c>
    </row>
    <row r="126">
      <c r="A126" s="3" t="s">
        <v>30</v>
      </c>
      <c r="B126" s="4">
        <v>25.0</v>
      </c>
      <c r="C126" s="5" t="str">
        <f t="shared" si="1"/>
        <v>0 days 0 hours 0 minutes</v>
      </c>
      <c r="D126" s="6"/>
      <c r="E126" s="7"/>
      <c r="F126" s="7"/>
      <c r="G126" s="7"/>
      <c r="H126" s="8"/>
      <c r="I126" s="9"/>
      <c r="J126" s="9"/>
      <c r="K126" s="9"/>
      <c r="L126" s="14">
        <v>0.0</v>
      </c>
      <c r="M126" s="14" t="s">
        <v>17</v>
      </c>
      <c r="N126" s="10">
        <f t="shared" si="2"/>
        <v>0</v>
      </c>
      <c r="O126" s="10">
        <f t="shared" si="3"/>
        <v>0</v>
      </c>
    </row>
    <row r="127">
      <c r="A127" s="18" t="s">
        <v>31</v>
      </c>
      <c r="B127" s="19">
        <v>1.0</v>
      </c>
      <c r="C127" s="20" t="str">
        <f t="shared" si="1"/>
        <v>0 days 0 hours 0 minutes</v>
      </c>
      <c r="D127" s="21"/>
      <c r="E127" s="22"/>
      <c r="F127" s="22"/>
      <c r="G127" s="22"/>
      <c r="H127" s="23"/>
      <c r="I127" s="24"/>
      <c r="J127" s="24"/>
      <c r="K127" s="24"/>
      <c r="L127" s="24"/>
      <c r="M127" s="24"/>
      <c r="N127" s="25">
        <f t="shared" si="2"/>
        <v>0</v>
      </c>
      <c r="O127" s="25">
        <f t="shared" si="3"/>
        <v>0</v>
      </c>
    </row>
    <row r="128">
      <c r="A128" s="3" t="s">
        <v>31</v>
      </c>
      <c r="B128" s="4">
        <v>2.0</v>
      </c>
      <c r="C128" s="5" t="str">
        <f t="shared" si="1"/>
        <v>0 days 0 hours 0 minutes</v>
      </c>
      <c r="D128" s="6"/>
      <c r="E128" s="7"/>
      <c r="F128" s="7"/>
      <c r="G128" s="7"/>
      <c r="H128" s="8"/>
      <c r="I128" s="9"/>
      <c r="J128" s="9"/>
      <c r="K128" s="9"/>
      <c r="L128" s="9"/>
      <c r="M128" s="14" t="s">
        <v>17</v>
      </c>
      <c r="N128" s="10">
        <f t="shared" si="2"/>
        <v>0</v>
      </c>
      <c r="O128" s="10">
        <f t="shared" si="3"/>
        <v>0</v>
      </c>
    </row>
    <row r="129">
      <c r="A129" s="3" t="s">
        <v>31</v>
      </c>
      <c r="B129" s="4">
        <v>3.0</v>
      </c>
      <c r="C129" s="5" t="str">
        <f t="shared" si="1"/>
        <v>0 days 0 hours 0 minutes</v>
      </c>
      <c r="D129" s="6"/>
      <c r="E129" s="7"/>
      <c r="F129" s="7"/>
      <c r="G129" s="7"/>
      <c r="H129" s="8"/>
      <c r="I129" s="9"/>
      <c r="J129" s="9"/>
      <c r="K129" s="9"/>
      <c r="L129" s="9"/>
      <c r="M129" s="14" t="s">
        <v>17</v>
      </c>
      <c r="N129" s="10">
        <f t="shared" si="2"/>
        <v>0</v>
      </c>
      <c r="O129" s="10">
        <f t="shared" si="3"/>
        <v>0</v>
      </c>
    </row>
    <row r="130">
      <c r="A130" s="3" t="s">
        <v>31</v>
      </c>
      <c r="B130" s="4">
        <v>4.0</v>
      </c>
      <c r="C130" s="5" t="str">
        <f t="shared" si="1"/>
        <v>0 days 0 hours 0 minutes</v>
      </c>
      <c r="D130" s="6"/>
      <c r="E130" s="7"/>
      <c r="F130" s="7"/>
      <c r="G130" s="7"/>
      <c r="H130" s="8"/>
      <c r="I130" s="9"/>
      <c r="J130" s="9"/>
      <c r="K130" s="9"/>
      <c r="L130" s="9"/>
      <c r="M130" s="14" t="s">
        <v>17</v>
      </c>
      <c r="N130" s="10">
        <f t="shared" si="2"/>
        <v>0</v>
      </c>
      <c r="O130" s="10">
        <f t="shared" si="3"/>
        <v>0</v>
      </c>
    </row>
    <row r="131">
      <c r="A131" s="3" t="s">
        <v>31</v>
      </c>
      <c r="B131" s="4">
        <v>5.0</v>
      </c>
      <c r="C131" s="5" t="str">
        <f t="shared" si="1"/>
        <v>0 days 0 hours 0 minutes</v>
      </c>
      <c r="D131" s="6"/>
      <c r="E131" s="7"/>
      <c r="F131" s="7"/>
      <c r="G131" s="7"/>
      <c r="H131" s="8"/>
      <c r="I131" s="9"/>
      <c r="J131" s="9"/>
      <c r="K131" s="9"/>
      <c r="L131" s="9"/>
      <c r="M131" s="14" t="s">
        <v>17</v>
      </c>
      <c r="N131" s="10">
        <f t="shared" si="2"/>
        <v>0</v>
      </c>
      <c r="O131" s="10">
        <f t="shared" si="3"/>
        <v>0</v>
      </c>
    </row>
    <row r="132">
      <c r="A132" s="3" t="s">
        <v>31</v>
      </c>
      <c r="B132" s="4">
        <v>6.0</v>
      </c>
      <c r="C132" s="5" t="str">
        <f t="shared" si="1"/>
        <v>0 days 0 hours 0 minutes</v>
      </c>
      <c r="D132" s="6"/>
      <c r="E132" s="7"/>
      <c r="F132" s="7"/>
      <c r="G132" s="7"/>
      <c r="H132" s="8"/>
      <c r="I132" s="9"/>
      <c r="J132" s="9"/>
      <c r="K132" s="9"/>
      <c r="L132" s="9"/>
      <c r="M132" s="14" t="s">
        <v>17</v>
      </c>
      <c r="N132" s="10">
        <f t="shared" si="2"/>
        <v>0</v>
      </c>
      <c r="O132" s="10">
        <f t="shared" si="3"/>
        <v>0</v>
      </c>
    </row>
    <row r="133">
      <c r="A133" s="3" t="s">
        <v>31</v>
      </c>
      <c r="B133" s="4">
        <v>7.0</v>
      </c>
      <c r="C133" s="5" t="str">
        <f t="shared" si="1"/>
        <v>0 days 0 hours 0 minutes</v>
      </c>
      <c r="D133" s="6"/>
      <c r="E133" s="7"/>
      <c r="F133" s="7"/>
      <c r="G133" s="7"/>
      <c r="H133" s="8"/>
      <c r="I133" s="9"/>
      <c r="J133" s="9"/>
      <c r="K133" s="9"/>
      <c r="L133" s="9"/>
      <c r="M133" s="14" t="s">
        <v>17</v>
      </c>
      <c r="N133" s="10">
        <f t="shared" si="2"/>
        <v>0</v>
      </c>
      <c r="O133" s="10">
        <f t="shared" si="3"/>
        <v>0</v>
      </c>
    </row>
    <row r="134">
      <c r="A134" s="3" t="s">
        <v>31</v>
      </c>
      <c r="B134" s="4">
        <v>8.0</v>
      </c>
      <c r="C134" s="5" t="str">
        <f t="shared" si="1"/>
        <v>0 days 0 hours 0 minutes</v>
      </c>
      <c r="D134" s="6"/>
      <c r="E134" s="7"/>
      <c r="F134" s="7"/>
      <c r="G134" s="7"/>
      <c r="H134" s="8"/>
      <c r="I134" s="9"/>
      <c r="J134" s="9"/>
      <c r="K134" s="9"/>
      <c r="L134" s="9"/>
      <c r="M134" s="14" t="s">
        <v>17</v>
      </c>
      <c r="N134" s="10">
        <f t="shared" si="2"/>
        <v>0</v>
      </c>
      <c r="O134" s="10">
        <f t="shared" si="3"/>
        <v>0</v>
      </c>
    </row>
    <row r="135">
      <c r="A135" s="3" t="s">
        <v>31</v>
      </c>
      <c r="B135" s="4">
        <v>9.0</v>
      </c>
      <c r="C135" s="5" t="str">
        <f t="shared" si="1"/>
        <v>0 days 0 hours 0 minutes</v>
      </c>
      <c r="D135" s="6"/>
      <c r="E135" s="7"/>
      <c r="F135" s="7"/>
      <c r="G135" s="7"/>
      <c r="H135" s="8"/>
      <c r="I135" s="9"/>
      <c r="J135" s="9"/>
      <c r="K135" s="9"/>
      <c r="L135" s="9"/>
      <c r="M135" s="14" t="s">
        <v>17</v>
      </c>
      <c r="N135" s="10">
        <f t="shared" si="2"/>
        <v>0</v>
      </c>
      <c r="O135" s="10">
        <f t="shared" si="3"/>
        <v>0</v>
      </c>
    </row>
    <row r="136">
      <c r="A136" s="3" t="s">
        <v>31</v>
      </c>
      <c r="B136" s="4">
        <v>10.0</v>
      </c>
      <c r="C136" s="5" t="str">
        <f t="shared" si="1"/>
        <v>0 days 0 hours 0 minutes</v>
      </c>
      <c r="D136" s="6"/>
      <c r="E136" s="7"/>
      <c r="F136" s="7"/>
      <c r="G136" s="7"/>
      <c r="H136" s="8"/>
      <c r="I136" s="9"/>
      <c r="J136" s="9"/>
      <c r="K136" s="9"/>
      <c r="L136" s="9"/>
      <c r="M136" s="14" t="s">
        <v>17</v>
      </c>
      <c r="N136" s="10">
        <f t="shared" si="2"/>
        <v>0</v>
      </c>
      <c r="O136" s="10">
        <f t="shared" si="3"/>
        <v>0</v>
      </c>
    </row>
    <row r="137">
      <c r="A137" s="3" t="s">
        <v>31</v>
      </c>
      <c r="B137" s="4">
        <v>11.0</v>
      </c>
      <c r="C137" s="5" t="str">
        <f t="shared" si="1"/>
        <v>0 days 0 hours 0 minutes</v>
      </c>
      <c r="D137" s="6"/>
      <c r="E137" s="7"/>
      <c r="F137" s="7"/>
      <c r="G137" s="7"/>
      <c r="H137" s="8"/>
      <c r="I137" s="9"/>
      <c r="J137" s="9"/>
      <c r="K137" s="9"/>
      <c r="L137" s="9"/>
      <c r="M137" s="14" t="s">
        <v>17</v>
      </c>
      <c r="N137" s="10">
        <f t="shared" si="2"/>
        <v>0</v>
      </c>
      <c r="O137" s="10">
        <f t="shared" si="3"/>
        <v>0</v>
      </c>
    </row>
    <row r="138">
      <c r="A138" s="3" t="s">
        <v>31</v>
      </c>
      <c r="B138" s="4">
        <v>12.0</v>
      </c>
      <c r="C138" s="5" t="str">
        <f t="shared" si="1"/>
        <v>0 days 0 hours 0 minutes</v>
      </c>
      <c r="D138" s="6"/>
      <c r="E138" s="7"/>
      <c r="F138" s="7"/>
      <c r="G138" s="7"/>
      <c r="H138" s="8"/>
      <c r="I138" s="9"/>
      <c r="J138" s="9"/>
      <c r="K138" s="9"/>
      <c r="L138" s="9"/>
      <c r="M138" s="14" t="s">
        <v>17</v>
      </c>
      <c r="N138" s="10">
        <f t="shared" si="2"/>
        <v>0</v>
      </c>
      <c r="O138" s="10">
        <f t="shared" si="3"/>
        <v>0</v>
      </c>
    </row>
    <row r="139">
      <c r="A139" s="3" t="s">
        <v>31</v>
      </c>
      <c r="B139" s="4">
        <v>13.0</v>
      </c>
      <c r="C139" s="5" t="str">
        <f t="shared" si="1"/>
        <v>0 days 0 hours 0 minutes</v>
      </c>
      <c r="D139" s="6"/>
      <c r="E139" s="7"/>
      <c r="F139" s="7"/>
      <c r="G139" s="7"/>
      <c r="H139" s="8"/>
      <c r="I139" s="9"/>
      <c r="J139" s="9"/>
      <c r="K139" s="9"/>
      <c r="L139" s="9"/>
      <c r="M139" s="14" t="s">
        <v>17</v>
      </c>
      <c r="N139" s="10">
        <f t="shared" si="2"/>
        <v>0</v>
      </c>
      <c r="O139" s="10">
        <f t="shared" si="3"/>
        <v>0</v>
      </c>
    </row>
    <row r="140">
      <c r="A140" s="3" t="s">
        <v>31</v>
      </c>
      <c r="B140" s="4">
        <v>14.0</v>
      </c>
      <c r="C140" s="5" t="str">
        <f t="shared" si="1"/>
        <v>0 days 0 hours 0 minutes</v>
      </c>
      <c r="D140" s="6"/>
      <c r="E140" s="7"/>
      <c r="F140" s="7"/>
      <c r="G140" s="7"/>
      <c r="H140" s="8"/>
      <c r="I140" s="9"/>
      <c r="J140" s="9"/>
      <c r="K140" s="9"/>
      <c r="L140" s="9"/>
      <c r="M140" s="14" t="s">
        <v>17</v>
      </c>
      <c r="N140" s="10">
        <f t="shared" si="2"/>
        <v>0</v>
      </c>
      <c r="O140" s="10">
        <f t="shared" si="3"/>
        <v>0</v>
      </c>
    </row>
    <row r="141">
      <c r="A141" s="3" t="s">
        <v>31</v>
      </c>
      <c r="B141" s="4">
        <v>15.0</v>
      </c>
      <c r="C141" s="5" t="str">
        <f t="shared" si="1"/>
        <v>0 days 0 hours 0 minutes</v>
      </c>
      <c r="D141" s="6"/>
      <c r="E141" s="7"/>
      <c r="F141" s="7"/>
      <c r="G141" s="7"/>
      <c r="H141" s="8"/>
      <c r="I141" s="9"/>
      <c r="J141" s="9"/>
      <c r="K141" s="9"/>
      <c r="L141" s="9"/>
      <c r="M141" s="14" t="s">
        <v>17</v>
      </c>
      <c r="N141" s="10">
        <f t="shared" si="2"/>
        <v>0</v>
      </c>
      <c r="O141" s="10">
        <f t="shared" si="3"/>
        <v>0</v>
      </c>
    </row>
    <row r="142">
      <c r="A142" s="3" t="s">
        <v>31</v>
      </c>
      <c r="B142" s="4">
        <v>16.0</v>
      </c>
      <c r="C142" s="5" t="str">
        <f t="shared" si="1"/>
        <v>0 days 0 hours 0 minutes</v>
      </c>
      <c r="D142" s="6"/>
      <c r="E142" s="7"/>
      <c r="F142" s="7"/>
      <c r="G142" s="7"/>
      <c r="H142" s="8"/>
      <c r="I142" s="9"/>
      <c r="J142" s="9"/>
      <c r="K142" s="9"/>
      <c r="L142" s="9"/>
      <c r="M142" s="14" t="s">
        <v>17</v>
      </c>
      <c r="N142" s="10">
        <f t="shared" si="2"/>
        <v>0</v>
      </c>
      <c r="O142" s="10">
        <f t="shared" si="3"/>
        <v>0</v>
      </c>
    </row>
    <row r="143">
      <c r="A143" s="3" t="s">
        <v>31</v>
      </c>
      <c r="B143" s="4">
        <v>17.0</v>
      </c>
      <c r="C143" s="5" t="str">
        <f t="shared" si="1"/>
        <v>0 days 0 hours 0 minutes</v>
      </c>
      <c r="D143" s="6"/>
      <c r="E143" s="7"/>
      <c r="F143" s="7"/>
      <c r="G143" s="7"/>
      <c r="H143" s="8"/>
      <c r="I143" s="9"/>
      <c r="J143" s="9"/>
      <c r="K143" s="9"/>
      <c r="L143" s="9"/>
      <c r="M143" s="14" t="s">
        <v>17</v>
      </c>
      <c r="N143" s="10">
        <f t="shared" si="2"/>
        <v>0</v>
      </c>
      <c r="O143" s="10">
        <f t="shared" si="3"/>
        <v>0</v>
      </c>
    </row>
    <row r="144">
      <c r="A144" s="3" t="s">
        <v>31</v>
      </c>
      <c r="B144" s="4">
        <v>18.0</v>
      </c>
      <c r="C144" s="5" t="str">
        <f t="shared" si="1"/>
        <v>0 days 0 hours 0 minutes</v>
      </c>
      <c r="D144" s="6"/>
      <c r="E144" s="7"/>
      <c r="F144" s="7"/>
      <c r="G144" s="7"/>
      <c r="H144" s="8"/>
      <c r="I144" s="14">
        <v>1200000.0</v>
      </c>
      <c r="J144" s="14">
        <v>1200000.0</v>
      </c>
      <c r="K144" s="14">
        <v>938000.0</v>
      </c>
      <c r="L144" s="14">
        <v>125000.0</v>
      </c>
      <c r="M144" s="14" t="s">
        <v>17</v>
      </c>
      <c r="N144" s="10">
        <f t="shared" si="2"/>
        <v>0</v>
      </c>
      <c r="O144" s="10">
        <f t="shared" si="3"/>
        <v>0</v>
      </c>
    </row>
    <row r="145">
      <c r="A145" s="3" t="s">
        <v>31</v>
      </c>
      <c r="B145" s="4">
        <v>19.0</v>
      </c>
      <c r="C145" s="5" t="str">
        <f t="shared" si="1"/>
        <v>0 days 0 hours 0 minutes</v>
      </c>
      <c r="D145" s="6"/>
      <c r="E145" s="7"/>
      <c r="F145" s="7"/>
      <c r="G145" s="7"/>
      <c r="H145" s="8"/>
      <c r="I145" s="9"/>
      <c r="J145" s="9"/>
      <c r="K145" s="9"/>
      <c r="L145" s="9"/>
      <c r="M145" s="14" t="s">
        <v>17</v>
      </c>
      <c r="N145" s="10">
        <f t="shared" si="2"/>
        <v>0</v>
      </c>
      <c r="O145" s="10">
        <f t="shared" si="3"/>
        <v>0</v>
      </c>
    </row>
    <row r="146">
      <c r="A146" s="3" t="s">
        <v>31</v>
      </c>
      <c r="B146" s="4">
        <v>20.0</v>
      </c>
      <c r="C146" s="5" t="str">
        <f t="shared" si="1"/>
        <v>0 days 0 hours 0 minutes</v>
      </c>
      <c r="D146" s="6"/>
      <c r="E146" s="7"/>
      <c r="F146" s="7"/>
      <c r="G146" s="7"/>
      <c r="H146" s="8"/>
      <c r="I146" s="9"/>
      <c r="J146" s="9"/>
      <c r="K146" s="9"/>
      <c r="L146" s="9"/>
      <c r="M146" s="14" t="s">
        <v>17</v>
      </c>
      <c r="N146" s="10">
        <f t="shared" si="2"/>
        <v>0</v>
      </c>
      <c r="O146" s="10">
        <f t="shared" si="3"/>
        <v>0</v>
      </c>
    </row>
    <row r="147">
      <c r="A147" s="3" t="s">
        <v>31</v>
      </c>
      <c r="B147" s="4">
        <v>21.0</v>
      </c>
      <c r="C147" s="5" t="str">
        <f t="shared" si="1"/>
        <v>0 days 0 hours 0 minutes</v>
      </c>
      <c r="D147" s="6"/>
      <c r="E147" s="7"/>
      <c r="F147" s="7"/>
      <c r="G147" s="7"/>
      <c r="H147" s="8"/>
      <c r="I147" s="9"/>
      <c r="J147" s="9"/>
      <c r="K147" s="9"/>
      <c r="L147" s="9"/>
      <c r="M147" s="14" t="s">
        <v>17</v>
      </c>
      <c r="N147" s="10">
        <f t="shared" si="2"/>
        <v>0</v>
      </c>
      <c r="O147" s="10">
        <f t="shared" si="3"/>
        <v>0</v>
      </c>
    </row>
    <row r="148">
      <c r="A148" s="3" t="s">
        <v>31</v>
      </c>
      <c r="B148" s="4">
        <v>22.0</v>
      </c>
      <c r="C148" s="5" t="str">
        <f t="shared" si="1"/>
        <v>0 days 0 hours 0 minutes</v>
      </c>
      <c r="D148" s="6"/>
      <c r="E148" s="7"/>
      <c r="F148" s="7"/>
      <c r="G148" s="7"/>
      <c r="H148" s="8"/>
      <c r="I148" s="9"/>
      <c r="J148" s="9"/>
      <c r="K148" s="9"/>
      <c r="L148" s="9"/>
      <c r="M148" s="14" t="s">
        <v>17</v>
      </c>
      <c r="N148" s="10">
        <f t="shared" si="2"/>
        <v>0</v>
      </c>
      <c r="O148" s="10">
        <f t="shared" si="3"/>
        <v>0</v>
      </c>
    </row>
    <row r="149">
      <c r="A149" s="3" t="s">
        <v>31</v>
      </c>
      <c r="B149" s="4">
        <v>23.0</v>
      </c>
      <c r="C149" s="5" t="str">
        <f t="shared" si="1"/>
        <v>5 days 15 hours 13 minutes</v>
      </c>
      <c r="D149" s="12">
        <v>0.71</v>
      </c>
      <c r="E149" s="11">
        <v>3.0</v>
      </c>
      <c r="F149" s="11">
        <v>7.0</v>
      </c>
      <c r="G149" s="11">
        <v>4.0</v>
      </c>
      <c r="H149" s="13">
        <v>40.0</v>
      </c>
      <c r="I149" s="14">
        <v>9500000.0</v>
      </c>
      <c r="J149" s="14">
        <v>9500000.0</v>
      </c>
      <c r="K149" s="14">
        <v>7100000.0</v>
      </c>
      <c r="L149" s="14">
        <v>950000.0</v>
      </c>
      <c r="M149" s="14" t="s">
        <v>17</v>
      </c>
      <c r="N149" s="10">
        <f t="shared" si="2"/>
        <v>284680</v>
      </c>
      <c r="O149" s="10">
        <f t="shared" si="3"/>
        <v>486803</v>
      </c>
    </row>
    <row r="150">
      <c r="A150" s="3" t="s">
        <v>31</v>
      </c>
      <c r="B150" s="4">
        <v>24.0</v>
      </c>
      <c r="C150" s="5" t="str">
        <f t="shared" si="1"/>
        <v>0 days 0 hours 0 minutes</v>
      </c>
      <c r="D150" s="12"/>
      <c r="E150" s="7"/>
      <c r="F150" s="7"/>
      <c r="G150" s="7"/>
      <c r="H150" s="8"/>
      <c r="I150" s="14"/>
      <c r="J150" s="9"/>
      <c r="K150" s="9"/>
      <c r="L150" s="9"/>
      <c r="M150" s="14" t="s">
        <v>17</v>
      </c>
      <c r="N150" s="10">
        <f t="shared" si="2"/>
        <v>0</v>
      </c>
      <c r="O150" s="10">
        <f t="shared" si="3"/>
        <v>0</v>
      </c>
    </row>
    <row r="151">
      <c r="A151" s="3" t="s">
        <v>31</v>
      </c>
      <c r="B151" s="4">
        <v>25.0</v>
      </c>
      <c r="C151" s="5" t="str">
        <f t="shared" si="1"/>
        <v>0 days 0 hours 0 minutes</v>
      </c>
      <c r="D151" s="6"/>
      <c r="E151" s="7"/>
      <c r="F151" s="7"/>
      <c r="G151" s="7"/>
      <c r="H151" s="8"/>
      <c r="I151" s="14">
        <v>2.16E7</v>
      </c>
      <c r="J151" s="14">
        <v>2.16E7</v>
      </c>
      <c r="K151" s="14">
        <v>1.62E7</v>
      </c>
      <c r="L151" s="14">
        <v>2200000.0</v>
      </c>
      <c r="M151" s="14" t="s">
        <v>17</v>
      </c>
      <c r="N151" s="10">
        <f t="shared" si="2"/>
        <v>0</v>
      </c>
      <c r="O151" s="10">
        <f t="shared" si="3"/>
        <v>0</v>
      </c>
    </row>
    <row r="152">
      <c r="A152" s="18" t="s">
        <v>32</v>
      </c>
      <c r="B152" s="19">
        <v>1.0</v>
      </c>
      <c r="C152" s="20" t="str">
        <f t="shared" si="1"/>
        <v>0 days 0 hours 0 minutes</v>
      </c>
      <c r="D152" s="21"/>
      <c r="E152" s="22"/>
      <c r="F152" s="22"/>
      <c r="G152" s="22"/>
      <c r="H152" s="23"/>
      <c r="I152" s="24"/>
      <c r="J152" s="24"/>
      <c r="K152" s="24"/>
      <c r="L152" s="24"/>
      <c r="M152" s="24"/>
      <c r="N152" s="25">
        <f t="shared" si="2"/>
        <v>0</v>
      </c>
      <c r="O152" s="25">
        <f t="shared" si="3"/>
        <v>0</v>
      </c>
    </row>
    <row r="153">
      <c r="A153" s="3" t="s">
        <v>32</v>
      </c>
      <c r="B153" s="4">
        <v>2.0</v>
      </c>
      <c r="C153" s="5" t="str">
        <f t="shared" si="1"/>
        <v>0 days 0 hours 0 minutes</v>
      </c>
      <c r="D153" s="6"/>
      <c r="E153" s="7"/>
      <c r="F153" s="7"/>
      <c r="G153" s="7"/>
      <c r="H153" s="8"/>
      <c r="I153" s="9"/>
      <c r="J153" s="9"/>
      <c r="K153" s="9"/>
      <c r="L153" s="9"/>
      <c r="M153" s="9"/>
      <c r="N153" s="10">
        <f t="shared" si="2"/>
        <v>0</v>
      </c>
      <c r="O153" s="10">
        <f t="shared" si="3"/>
        <v>0</v>
      </c>
    </row>
    <row r="154">
      <c r="A154" s="3" t="s">
        <v>32</v>
      </c>
      <c r="B154" s="4">
        <v>3.0</v>
      </c>
      <c r="C154" s="5" t="str">
        <f t="shared" si="1"/>
        <v>0 days 0 hours 0 minutes</v>
      </c>
      <c r="D154" s="6"/>
      <c r="E154" s="7"/>
      <c r="F154" s="7"/>
      <c r="G154" s="7"/>
      <c r="H154" s="8"/>
      <c r="I154" s="9"/>
      <c r="J154" s="9"/>
      <c r="K154" s="9"/>
      <c r="L154" s="9"/>
      <c r="M154" s="9"/>
      <c r="N154" s="10">
        <f t="shared" si="2"/>
        <v>0</v>
      </c>
      <c r="O154" s="10">
        <f t="shared" si="3"/>
        <v>0</v>
      </c>
    </row>
    <row r="155">
      <c r="A155" s="3" t="s">
        <v>32</v>
      </c>
      <c r="B155" s="4">
        <v>4.0</v>
      </c>
      <c r="C155" s="5" t="str">
        <f t="shared" si="1"/>
        <v>0 days 0 hours 0 minutes</v>
      </c>
      <c r="D155" s="6"/>
      <c r="E155" s="7"/>
      <c r="F155" s="7"/>
      <c r="G155" s="7"/>
      <c r="H155" s="8"/>
      <c r="I155" s="9"/>
      <c r="J155" s="9"/>
      <c r="K155" s="9"/>
      <c r="L155" s="9"/>
      <c r="M155" s="9"/>
      <c r="N155" s="10">
        <f t="shared" si="2"/>
        <v>0</v>
      </c>
      <c r="O155" s="10">
        <f t="shared" si="3"/>
        <v>0</v>
      </c>
    </row>
    <row r="156">
      <c r="A156" s="3" t="s">
        <v>32</v>
      </c>
      <c r="B156" s="4">
        <v>5.0</v>
      </c>
      <c r="C156" s="5" t="str">
        <f t="shared" si="1"/>
        <v>0 days 0 hours 0 minutes</v>
      </c>
      <c r="D156" s="6"/>
      <c r="E156" s="7"/>
      <c r="F156" s="7"/>
      <c r="G156" s="7"/>
      <c r="H156" s="8"/>
      <c r="I156" s="9"/>
      <c r="J156" s="9"/>
      <c r="K156" s="9"/>
      <c r="L156" s="9"/>
      <c r="M156" s="9"/>
      <c r="N156" s="10">
        <f t="shared" si="2"/>
        <v>0</v>
      </c>
      <c r="O156" s="10">
        <f t="shared" si="3"/>
        <v>0</v>
      </c>
    </row>
    <row r="157">
      <c r="A157" s="3" t="s">
        <v>32</v>
      </c>
      <c r="B157" s="4">
        <v>6.0</v>
      </c>
      <c r="C157" s="5" t="str">
        <f t="shared" si="1"/>
        <v>0 days 0 hours 0 minutes</v>
      </c>
      <c r="D157" s="6"/>
      <c r="E157" s="7"/>
      <c r="F157" s="7"/>
      <c r="G157" s="7"/>
      <c r="H157" s="8"/>
      <c r="I157" s="9"/>
      <c r="J157" s="9"/>
      <c r="K157" s="9"/>
      <c r="L157" s="9"/>
      <c r="M157" s="9"/>
      <c r="N157" s="10">
        <f t="shared" si="2"/>
        <v>0</v>
      </c>
      <c r="O157" s="10">
        <f t="shared" si="3"/>
        <v>0</v>
      </c>
    </row>
    <row r="158">
      <c r="A158" s="3" t="s">
        <v>32</v>
      </c>
      <c r="B158" s="4">
        <v>7.0</v>
      </c>
      <c r="C158" s="5" t="str">
        <f t="shared" si="1"/>
        <v>0 days 0 hours 0 minutes</v>
      </c>
      <c r="D158" s="6"/>
      <c r="E158" s="7"/>
      <c r="F158" s="7"/>
      <c r="G158" s="7"/>
      <c r="H158" s="8"/>
      <c r="I158" s="9"/>
      <c r="J158" s="9"/>
      <c r="K158" s="9"/>
      <c r="L158" s="9"/>
      <c r="M158" s="9"/>
      <c r="N158" s="10">
        <f t="shared" si="2"/>
        <v>0</v>
      </c>
      <c r="O158" s="10">
        <f t="shared" si="3"/>
        <v>0</v>
      </c>
    </row>
    <row r="159">
      <c r="A159" s="3" t="s">
        <v>32</v>
      </c>
      <c r="B159" s="4">
        <v>8.0</v>
      </c>
      <c r="C159" s="5" t="str">
        <f t="shared" si="1"/>
        <v>0 days 0 hours 0 minutes</v>
      </c>
      <c r="D159" s="6"/>
      <c r="E159" s="7"/>
      <c r="F159" s="7"/>
      <c r="G159" s="7"/>
      <c r="H159" s="8"/>
      <c r="I159" s="9"/>
      <c r="J159" s="9"/>
      <c r="K159" s="9"/>
      <c r="L159" s="9"/>
      <c r="M159" s="9"/>
      <c r="N159" s="10">
        <f t="shared" si="2"/>
        <v>0</v>
      </c>
      <c r="O159" s="10">
        <f t="shared" si="3"/>
        <v>0</v>
      </c>
    </row>
    <row r="160">
      <c r="A160" s="3" t="s">
        <v>32</v>
      </c>
      <c r="B160" s="4">
        <v>9.0</v>
      </c>
      <c r="C160" s="5" t="str">
        <f t="shared" si="1"/>
        <v>0 days 0 hours 0 minutes</v>
      </c>
      <c r="D160" s="6"/>
      <c r="E160" s="7"/>
      <c r="F160" s="7"/>
      <c r="G160" s="7"/>
      <c r="H160" s="8"/>
      <c r="I160" s="9"/>
      <c r="J160" s="9"/>
      <c r="K160" s="9"/>
      <c r="L160" s="9"/>
      <c r="M160" s="9"/>
      <c r="N160" s="10">
        <f t="shared" si="2"/>
        <v>0</v>
      </c>
      <c r="O160" s="10">
        <f t="shared" si="3"/>
        <v>0</v>
      </c>
    </row>
    <row r="161">
      <c r="A161" s="3" t="s">
        <v>32</v>
      </c>
      <c r="B161" s="4">
        <v>10.0</v>
      </c>
      <c r="C161" s="5" t="str">
        <f t="shared" si="1"/>
        <v>0 days 0 hours 0 minutes</v>
      </c>
      <c r="D161" s="6"/>
      <c r="E161" s="7"/>
      <c r="F161" s="7"/>
      <c r="G161" s="7"/>
      <c r="H161" s="8"/>
      <c r="I161" s="9"/>
      <c r="J161" s="9"/>
      <c r="K161" s="9"/>
      <c r="L161" s="9"/>
      <c r="M161" s="9"/>
      <c r="N161" s="10">
        <f t="shared" si="2"/>
        <v>0</v>
      </c>
      <c r="O161" s="10">
        <f t="shared" si="3"/>
        <v>0</v>
      </c>
    </row>
    <row r="162">
      <c r="A162" s="3" t="s">
        <v>32</v>
      </c>
      <c r="B162" s="4">
        <v>11.0</v>
      </c>
      <c r="C162" s="5" t="str">
        <f t="shared" si="1"/>
        <v>0 days 0 hours 0 minutes</v>
      </c>
      <c r="D162" s="6"/>
      <c r="E162" s="7"/>
      <c r="F162" s="7"/>
      <c r="G162" s="7"/>
      <c r="H162" s="8"/>
      <c r="I162" s="9"/>
      <c r="J162" s="9"/>
      <c r="K162" s="9"/>
      <c r="L162" s="9"/>
      <c r="M162" s="9"/>
      <c r="N162" s="10">
        <f t="shared" si="2"/>
        <v>0</v>
      </c>
      <c r="O162" s="10">
        <f t="shared" si="3"/>
        <v>0</v>
      </c>
    </row>
    <row r="163">
      <c r="A163" s="3" t="s">
        <v>32</v>
      </c>
      <c r="B163" s="4">
        <v>12.0</v>
      </c>
      <c r="C163" s="5" t="str">
        <f t="shared" si="1"/>
        <v>0 days 0 hours 0 minutes</v>
      </c>
      <c r="D163" s="6"/>
      <c r="E163" s="7"/>
      <c r="F163" s="7"/>
      <c r="G163" s="7"/>
      <c r="H163" s="8"/>
      <c r="I163" s="9"/>
      <c r="J163" s="9"/>
      <c r="K163" s="9"/>
      <c r="L163" s="9"/>
      <c r="M163" s="9"/>
      <c r="N163" s="10">
        <f t="shared" si="2"/>
        <v>0</v>
      </c>
      <c r="O163" s="10">
        <f t="shared" si="3"/>
        <v>0</v>
      </c>
    </row>
    <row r="164">
      <c r="A164" s="3" t="s">
        <v>32</v>
      </c>
      <c r="B164" s="4">
        <v>13.0</v>
      </c>
      <c r="C164" s="5" t="str">
        <f t="shared" si="1"/>
        <v>0 days 0 hours 0 minutes</v>
      </c>
      <c r="D164" s="6"/>
      <c r="E164" s="7"/>
      <c r="F164" s="7"/>
      <c r="G164" s="7"/>
      <c r="H164" s="8"/>
      <c r="I164" s="9"/>
      <c r="J164" s="9"/>
      <c r="K164" s="9"/>
      <c r="L164" s="9"/>
      <c r="M164" s="9"/>
      <c r="N164" s="10">
        <f t="shared" si="2"/>
        <v>0</v>
      </c>
      <c r="O164" s="10">
        <f t="shared" si="3"/>
        <v>0</v>
      </c>
    </row>
    <row r="165">
      <c r="A165" s="3" t="s">
        <v>32</v>
      </c>
      <c r="B165" s="4">
        <v>14.0</v>
      </c>
      <c r="C165" s="5" t="str">
        <f t="shared" si="1"/>
        <v>0 days 0 hours 0 minutes</v>
      </c>
      <c r="D165" s="6"/>
      <c r="E165" s="7"/>
      <c r="F165" s="7"/>
      <c r="G165" s="7"/>
      <c r="H165" s="8"/>
      <c r="I165" s="9"/>
      <c r="J165" s="9"/>
      <c r="K165" s="9"/>
      <c r="L165" s="9"/>
      <c r="M165" s="9"/>
      <c r="N165" s="10">
        <f t="shared" si="2"/>
        <v>0</v>
      </c>
      <c r="O165" s="10">
        <f t="shared" si="3"/>
        <v>0</v>
      </c>
    </row>
    <row r="166">
      <c r="A166" s="3" t="s">
        <v>32</v>
      </c>
      <c r="B166" s="4">
        <v>15.0</v>
      </c>
      <c r="C166" s="5" t="str">
        <f t="shared" si="1"/>
        <v>0 days 0 hours 0 minutes</v>
      </c>
      <c r="D166" s="6"/>
      <c r="E166" s="7"/>
      <c r="F166" s="7"/>
      <c r="G166" s="7"/>
      <c r="H166" s="8"/>
      <c r="I166" s="9"/>
      <c r="J166" s="9"/>
      <c r="K166" s="9"/>
      <c r="L166" s="9"/>
      <c r="M166" s="9"/>
      <c r="N166" s="10">
        <f t="shared" si="2"/>
        <v>0</v>
      </c>
      <c r="O166" s="10">
        <f t="shared" si="3"/>
        <v>0</v>
      </c>
    </row>
    <row r="167">
      <c r="A167" s="3" t="s">
        <v>32</v>
      </c>
      <c r="B167" s="4">
        <v>16.0</v>
      </c>
      <c r="C167" s="5" t="str">
        <f t="shared" si="1"/>
        <v>0 days 0 hours 0 minutes</v>
      </c>
      <c r="D167" s="6"/>
      <c r="E167" s="7"/>
      <c r="F167" s="7"/>
      <c r="G167" s="7"/>
      <c r="H167" s="8"/>
      <c r="I167" s="9"/>
      <c r="J167" s="9"/>
      <c r="K167" s="9"/>
      <c r="L167" s="9"/>
      <c r="M167" s="9"/>
      <c r="N167" s="10">
        <f t="shared" si="2"/>
        <v>0</v>
      </c>
      <c r="O167" s="10">
        <f t="shared" si="3"/>
        <v>0</v>
      </c>
    </row>
    <row r="168">
      <c r="A168" s="3" t="s">
        <v>32</v>
      </c>
      <c r="B168" s="4">
        <v>17.0</v>
      </c>
      <c r="C168" s="5" t="str">
        <f t="shared" si="1"/>
        <v>0 days 0 hours 0 minutes</v>
      </c>
      <c r="D168" s="6"/>
      <c r="E168" s="7"/>
      <c r="F168" s="7"/>
      <c r="G168" s="7"/>
      <c r="H168" s="8"/>
      <c r="I168" s="14">
        <v>877000.0</v>
      </c>
      <c r="J168" s="14">
        <v>877000.0</v>
      </c>
      <c r="K168" s="14">
        <v>464000.0</v>
      </c>
      <c r="L168" s="14">
        <v>62000.0</v>
      </c>
      <c r="M168" s="14"/>
      <c r="N168" s="10">
        <f t="shared" si="2"/>
        <v>0</v>
      </c>
      <c r="O168" s="10">
        <f t="shared" si="3"/>
        <v>0</v>
      </c>
    </row>
    <row r="169">
      <c r="A169" s="3" t="s">
        <v>32</v>
      </c>
      <c r="B169" s="4">
        <v>18.0</v>
      </c>
      <c r="C169" s="5" t="str">
        <f t="shared" si="1"/>
        <v>0 days 0 hours 0 minutes</v>
      </c>
      <c r="D169" s="6"/>
      <c r="E169" s="7"/>
      <c r="F169" s="7"/>
      <c r="G169" s="7"/>
      <c r="H169" s="8"/>
      <c r="I169" s="9"/>
      <c r="J169" s="9"/>
      <c r="K169" s="9"/>
      <c r="L169" s="9"/>
      <c r="M169" s="9"/>
      <c r="N169" s="10">
        <f t="shared" si="2"/>
        <v>0</v>
      </c>
      <c r="O169" s="10">
        <f t="shared" si="3"/>
        <v>0</v>
      </c>
    </row>
    <row r="170">
      <c r="A170" s="3" t="s">
        <v>32</v>
      </c>
      <c r="B170" s="4">
        <v>19.0</v>
      </c>
      <c r="C170" s="5" t="str">
        <f t="shared" si="1"/>
        <v>0 days 0 hours 0 minutes</v>
      </c>
      <c r="D170" s="12"/>
      <c r="E170" s="7"/>
      <c r="F170" s="7"/>
      <c r="G170" s="7"/>
      <c r="H170" s="8"/>
      <c r="I170" s="14">
        <v>2000000.0</v>
      </c>
      <c r="J170" s="14">
        <v>2000000.0</v>
      </c>
      <c r="K170" s="14">
        <v>1100000.0</v>
      </c>
      <c r="L170" s="14">
        <v>141000.0</v>
      </c>
      <c r="M170" s="14"/>
      <c r="N170" s="10">
        <f t="shared" si="2"/>
        <v>0</v>
      </c>
      <c r="O170" s="10">
        <f t="shared" si="3"/>
        <v>0</v>
      </c>
    </row>
    <row r="171">
      <c r="A171" s="3" t="s">
        <v>32</v>
      </c>
      <c r="B171" s="4">
        <v>20.0</v>
      </c>
      <c r="C171" s="5" t="str">
        <f t="shared" si="1"/>
        <v>0 days 0 hours 0 minutes</v>
      </c>
      <c r="D171" s="6"/>
      <c r="E171" s="7"/>
      <c r="F171" s="7"/>
      <c r="G171" s="7"/>
      <c r="H171" s="8"/>
      <c r="I171" s="9"/>
      <c r="J171" s="9"/>
      <c r="K171" s="9"/>
      <c r="L171" s="9"/>
      <c r="M171" s="9"/>
      <c r="N171" s="10">
        <f t="shared" si="2"/>
        <v>0</v>
      </c>
      <c r="O171" s="10">
        <f t="shared" si="3"/>
        <v>0</v>
      </c>
    </row>
    <row r="172">
      <c r="A172" s="3" t="s">
        <v>32</v>
      </c>
      <c r="B172" s="4">
        <v>21.0</v>
      </c>
      <c r="C172" s="5" t="str">
        <f t="shared" si="1"/>
        <v>2 days 21 hours 20 minutes</v>
      </c>
      <c r="D172" s="12">
        <v>0.7</v>
      </c>
      <c r="E172" s="11">
        <v>1.0</v>
      </c>
      <c r="F172" s="11">
        <v>16.0</v>
      </c>
      <c r="G172" s="11">
        <v>47.0</v>
      </c>
      <c r="H172" s="13">
        <v>29.0</v>
      </c>
      <c r="I172" s="14">
        <v>4500000.0</v>
      </c>
      <c r="J172" s="14">
        <v>4500000.0</v>
      </c>
      <c r="K172" s="14">
        <v>2400000.0</v>
      </c>
      <c r="L172" s="14">
        <v>320000.0</v>
      </c>
      <c r="M172" s="14"/>
      <c r="N172" s="10">
        <f t="shared" si="2"/>
        <v>146849</v>
      </c>
      <c r="O172" s="10">
        <f t="shared" si="3"/>
        <v>249644</v>
      </c>
    </row>
    <row r="173">
      <c r="A173" s="3" t="s">
        <v>32</v>
      </c>
      <c r="B173" s="4">
        <v>22.0</v>
      </c>
      <c r="C173" s="5" t="str">
        <f t="shared" si="1"/>
        <v>0 days 0 hours 0 minutes</v>
      </c>
      <c r="D173" s="12"/>
      <c r="E173" s="7"/>
      <c r="F173" s="7"/>
      <c r="G173" s="7"/>
      <c r="H173" s="8"/>
      <c r="I173" s="14">
        <v>6800000.0</v>
      </c>
      <c r="J173" s="14">
        <v>6800000.0</v>
      </c>
      <c r="K173" s="14">
        <v>3600000.0</v>
      </c>
      <c r="L173" s="14">
        <v>480000.0</v>
      </c>
      <c r="M173" s="14"/>
      <c r="N173" s="10">
        <f t="shared" si="2"/>
        <v>0</v>
      </c>
      <c r="O173" s="10">
        <f t="shared" si="3"/>
        <v>0</v>
      </c>
    </row>
    <row r="174">
      <c r="A174" s="3" t="s">
        <v>32</v>
      </c>
      <c r="B174" s="4">
        <v>23.0</v>
      </c>
      <c r="C174" s="5" t="str">
        <f t="shared" si="1"/>
        <v>0 days 0 hours 0 minutes</v>
      </c>
      <c r="D174" s="12"/>
      <c r="E174" s="11"/>
      <c r="F174" s="11"/>
      <c r="G174" s="11"/>
      <c r="H174" s="13"/>
      <c r="I174" s="14">
        <v>1.02E7</v>
      </c>
      <c r="J174" s="14">
        <v>1.02E7</v>
      </c>
      <c r="K174" s="14">
        <v>5400000.0</v>
      </c>
      <c r="L174" s="14">
        <v>720000.0</v>
      </c>
      <c r="M174" s="14"/>
      <c r="N174" s="10">
        <f t="shared" si="2"/>
        <v>0</v>
      </c>
      <c r="O174" s="10">
        <f t="shared" si="3"/>
        <v>0</v>
      </c>
    </row>
    <row r="175">
      <c r="A175" s="3" t="s">
        <v>32</v>
      </c>
      <c r="B175" s="4">
        <v>24.0</v>
      </c>
      <c r="C175" s="5" t="str">
        <f t="shared" si="1"/>
        <v>0 days 0 hours 0 minutes</v>
      </c>
      <c r="D175" s="12"/>
      <c r="E175" s="7"/>
      <c r="F175" s="7"/>
      <c r="G175" s="7"/>
      <c r="H175" s="8"/>
      <c r="I175" s="9"/>
      <c r="J175" s="9"/>
      <c r="K175" s="9"/>
      <c r="L175" s="9"/>
      <c r="M175" s="9"/>
      <c r="N175" s="10">
        <f t="shared" si="2"/>
        <v>0</v>
      </c>
      <c r="O175" s="10">
        <f t="shared" si="3"/>
        <v>0</v>
      </c>
    </row>
    <row r="176">
      <c r="A176" s="3" t="s">
        <v>32</v>
      </c>
      <c r="B176" s="4">
        <v>25.0</v>
      </c>
      <c r="C176" s="5" t="str">
        <f t="shared" si="1"/>
        <v>0 days 0 hours 0 minutes</v>
      </c>
      <c r="D176" s="6"/>
      <c r="E176" s="7"/>
      <c r="F176" s="7"/>
      <c r="G176" s="7"/>
      <c r="H176" s="8"/>
      <c r="I176" s="14">
        <v>2.32E7</v>
      </c>
      <c r="J176" s="14">
        <v>2.32E7</v>
      </c>
      <c r="K176" s="14">
        <v>1.23E7</v>
      </c>
      <c r="L176" s="14">
        <v>1600000.0</v>
      </c>
      <c r="M176" s="14"/>
      <c r="N176" s="10">
        <f t="shared" si="2"/>
        <v>0</v>
      </c>
      <c r="O176" s="10">
        <f t="shared" si="3"/>
        <v>0</v>
      </c>
    </row>
    <row r="177">
      <c r="A177" s="18" t="s">
        <v>33</v>
      </c>
      <c r="B177" s="19">
        <v>1.0</v>
      </c>
      <c r="C177" s="20" t="str">
        <f t="shared" si="1"/>
        <v>0 days 0 hours 0 minutes</v>
      </c>
      <c r="D177" s="21"/>
      <c r="E177" s="22"/>
      <c r="F177" s="22"/>
      <c r="G177" s="22"/>
      <c r="H177" s="23"/>
      <c r="I177" s="24"/>
      <c r="J177" s="24"/>
      <c r="K177" s="24"/>
      <c r="L177" s="24"/>
      <c r="M177" s="24"/>
      <c r="N177" s="25">
        <f t="shared" si="2"/>
        <v>0</v>
      </c>
      <c r="O177" s="25">
        <f t="shared" si="3"/>
        <v>0</v>
      </c>
    </row>
    <row r="178">
      <c r="A178" s="3" t="s">
        <v>33</v>
      </c>
      <c r="B178" s="4">
        <v>2.0</v>
      </c>
      <c r="C178" s="5" t="str">
        <f t="shared" si="1"/>
        <v>0 days 0 hours 0 minutes</v>
      </c>
      <c r="D178" s="6"/>
      <c r="E178" s="7"/>
      <c r="F178" s="7"/>
      <c r="G178" s="7"/>
      <c r="H178" s="8"/>
      <c r="I178" s="9"/>
      <c r="J178" s="9"/>
      <c r="K178" s="9"/>
      <c r="L178" s="9"/>
      <c r="M178" s="9"/>
      <c r="N178" s="10">
        <f t="shared" si="2"/>
        <v>0</v>
      </c>
      <c r="O178" s="10">
        <f t="shared" si="3"/>
        <v>0</v>
      </c>
    </row>
    <row r="179">
      <c r="A179" s="3" t="s">
        <v>33</v>
      </c>
      <c r="B179" s="4">
        <v>3.0</v>
      </c>
      <c r="C179" s="5" t="str">
        <f t="shared" si="1"/>
        <v>0 days 0 hours 0 minutes</v>
      </c>
      <c r="D179" s="6"/>
      <c r="E179" s="7"/>
      <c r="F179" s="7"/>
      <c r="G179" s="7"/>
      <c r="H179" s="8"/>
      <c r="I179" s="9"/>
      <c r="J179" s="9"/>
      <c r="K179" s="9"/>
      <c r="L179" s="9"/>
      <c r="M179" s="9"/>
      <c r="N179" s="10">
        <f t="shared" si="2"/>
        <v>0</v>
      </c>
      <c r="O179" s="10">
        <f t="shared" si="3"/>
        <v>0</v>
      </c>
    </row>
    <row r="180">
      <c r="A180" s="3" t="s">
        <v>33</v>
      </c>
      <c r="B180" s="4">
        <v>4.0</v>
      </c>
      <c r="C180" s="5" t="str">
        <f t="shared" si="1"/>
        <v>0 days 0 hours 0 minutes</v>
      </c>
      <c r="D180" s="6"/>
      <c r="E180" s="7"/>
      <c r="F180" s="7"/>
      <c r="G180" s="7"/>
      <c r="H180" s="8"/>
      <c r="I180" s="9"/>
      <c r="J180" s="9"/>
      <c r="K180" s="9"/>
      <c r="L180" s="9"/>
      <c r="M180" s="9"/>
      <c r="N180" s="10">
        <f t="shared" si="2"/>
        <v>0</v>
      </c>
      <c r="O180" s="10">
        <f t="shared" si="3"/>
        <v>0</v>
      </c>
    </row>
    <row r="181">
      <c r="A181" s="3" t="s">
        <v>33</v>
      </c>
      <c r="B181" s="4">
        <v>5.0</v>
      </c>
      <c r="C181" s="5" t="str">
        <f t="shared" si="1"/>
        <v>0 days 0 hours 0 minutes</v>
      </c>
      <c r="D181" s="6"/>
      <c r="E181" s="7"/>
      <c r="F181" s="7"/>
      <c r="G181" s="7"/>
      <c r="H181" s="8"/>
      <c r="I181" s="9"/>
      <c r="J181" s="9"/>
      <c r="K181" s="9"/>
      <c r="L181" s="9"/>
      <c r="M181" s="9"/>
      <c r="N181" s="10">
        <f t="shared" si="2"/>
        <v>0</v>
      </c>
      <c r="O181" s="10">
        <f t="shared" si="3"/>
        <v>0</v>
      </c>
    </row>
    <row r="182">
      <c r="A182" s="3" t="s">
        <v>33</v>
      </c>
      <c r="B182" s="4">
        <v>6.0</v>
      </c>
      <c r="C182" s="5" t="str">
        <f t="shared" si="1"/>
        <v>0 days 0 hours 0 minutes</v>
      </c>
      <c r="D182" s="6"/>
      <c r="E182" s="7"/>
      <c r="F182" s="7"/>
      <c r="G182" s="7"/>
      <c r="H182" s="8"/>
      <c r="I182" s="9"/>
      <c r="J182" s="9"/>
      <c r="K182" s="9"/>
      <c r="L182" s="9"/>
      <c r="M182" s="9"/>
      <c r="N182" s="10">
        <f t="shared" si="2"/>
        <v>0</v>
      </c>
      <c r="O182" s="10">
        <f t="shared" si="3"/>
        <v>0</v>
      </c>
    </row>
    <row r="183">
      <c r="A183" s="3" t="s">
        <v>33</v>
      </c>
      <c r="B183" s="4">
        <v>7.0</v>
      </c>
      <c r="C183" s="5" t="str">
        <f t="shared" si="1"/>
        <v>0 days 0 hours 0 minutes</v>
      </c>
      <c r="D183" s="6"/>
      <c r="E183" s="7"/>
      <c r="F183" s="7"/>
      <c r="G183" s="7"/>
      <c r="H183" s="8"/>
      <c r="I183" s="9"/>
      <c r="J183" s="9"/>
      <c r="K183" s="9"/>
      <c r="L183" s="9"/>
      <c r="M183" s="9"/>
      <c r="N183" s="10">
        <f t="shared" si="2"/>
        <v>0</v>
      </c>
      <c r="O183" s="10">
        <f t="shared" si="3"/>
        <v>0</v>
      </c>
    </row>
    <row r="184">
      <c r="A184" s="3" t="s">
        <v>33</v>
      </c>
      <c r="B184" s="4">
        <v>8.0</v>
      </c>
      <c r="C184" s="5" t="str">
        <f t="shared" si="1"/>
        <v>0 days 0 hours 0 minutes</v>
      </c>
      <c r="D184" s="6"/>
      <c r="E184" s="7"/>
      <c r="F184" s="7"/>
      <c r="G184" s="7"/>
      <c r="H184" s="8"/>
      <c r="I184" s="9"/>
      <c r="J184" s="9"/>
      <c r="K184" s="9"/>
      <c r="L184" s="9"/>
      <c r="M184" s="9"/>
      <c r="N184" s="10">
        <f t="shared" si="2"/>
        <v>0</v>
      </c>
      <c r="O184" s="10">
        <f t="shared" si="3"/>
        <v>0</v>
      </c>
    </row>
    <row r="185">
      <c r="A185" s="3" t="s">
        <v>33</v>
      </c>
      <c r="B185" s="4">
        <v>9.0</v>
      </c>
      <c r="C185" s="5" t="str">
        <f t="shared" si="1"/>
        <v>0 days 0 hours 0 minutes</v>
      </c>
      <c r="D185" s="6"/>
      <c r="E185" s="7"/>
      <c r="F185" s="7"/>
      <c r="G185" s="7"/>
      <c r="H185" s="8"/>
      <c r="I185" s="9"/>
      <c r="J185" s="9"/>
      <c r="K185" s="9"/>
      <c r="L185" s="9"/>
      <c r="M185" s="9"/>
      <c r="N185" s="10">
        <f t="shared" si="2"/>
        <v>0</v>
      </c>
      <c r="O185" s="10">
        <f t="shared" si="3"/>
        <v>0</v>
      </c>
    </row>
    <row r="186">
      <c r="A186" s="3" t="s">
        <v>33</v>
      </c>
      <c r="B186" s="4">
        <v>10.0</v>
      </c>
      <c r="C186" s="5" t="str">
        <f t="shared" si="1"/>
        <v>0 days 0 hours 0 minutes</v>
      </c>
      <c r="D186" s="6"/>
      <c r="E186" s="7"/>
      <c r="F186" s="7"/>
      <c r="G186" s="7"/>
      <c r="H186" s="8"/>
      <c r="I186" s="9"/>
      <c r="J186" s="9"/>
      <c r="K186" s="9"/>
      <c r="L186" s="9"/>
      <c r="M186" s="9"/>
      <c r="N186" s="10">
        <f t="shared" si="2"/>
        <v>0</v>
      </c>
      <c r="O186" s="10">
        <f t="shared" si="3"/>
        <v>0</v>
      </c>
    </row>
    <row r="187">
      <c r="A187" s="3" t="s">
        <v>33</v>
      </c>
      <c r="B187" s="4">
        <v>11.0</v>
      </c>
      <c r="C187" s="5" t="str">
        <f t="shared" si="1"/>
        <v>0 days 0 hours 0 minutes</v>
      </c>
      <c r="D187" s="6"/>
      <c r="E187" s="7"/>
      <c r="F187" s="7"/>
      <c r="G187" s="7"/>
      <c r="H187" s="8"/>
      <c r="I187" s="9"/>
      <c r="J187" s="9"/>
      <c r="K187" s="9"/>
      <c r="L187" s="9"/>
      <c r="M187" s="9"/>
      <c r="N187" s="10">
        <f t="shared" si="2"/>
        <v>0</v>
      </c>
      <c r="O187" s="10">
        <f t="shared" si="3"/>
        <v>0</v>
      </c>
    </row>
    <row r="188">
      <c r="A188" s="3" t="s">
        <v>33</v>
      </c>
      <c r="B188" s="4">
        <v>12.0</v>
      </c>
      <c r="C188" s="5" t="str">
        <f t="shared" si="1"/>
        <v>0 days 0 hours 0 minutes</v>
      </c>
      <c r="D188" s="6"/>
      <c r="E188" s="7"/>
      <c r="F188" s="7"/>
      <c r="G188" s="7"/>
      <c r="H188" s="8"/>
      <c r="I188" s="9"/>
      <c r="J188" s="9"/>
      <c r="K188" s="9"/>
      <c r="L188" s="9"/>
      <c r="M188" s="9"/>
      <c r="N188" s="10">
        <f t="shared" si="2"/>
        <v>0</v>
      </c>
      <c r="O188" s="10">
        <f t="shared" si="3"/>
        <v>0</v>
      </c>
    </row>
    <row r="189">
      <c r="A189" s="3" t="s">
        <v>33</v>
      </c>
      <c r="B189" s="4">
        <v>13.0</v>
      </c>
      <c r="C189" s="5" t="str">
        <f t="shared" si="1"/>
        <v>0 days 0 hours 0 minutes</v>
      </c>
      <c r="D189" s="6"/>
      <c r="E189" s="7"/>
      <c r="F189" s="7"/>
      <c r="G189" s="7"/>
      <c r="H189" s="8"/>
      <c r="I189" s="9"/>
      <c r="J189" s="9"/>
      <c r="K189" s="9"/>
      <c r="L189" s="9"/>
      <c r="M189" s="9"/>
      <c r="N189" s="10">
        <f t="shared" si="2"/>
        <v>0</v>
      </c>
      <c r="O189" s="10">
        <f t="shared" si="3"/>
        <v>0</v>
      </c>
    </row>
    <row r="190">
      <c r="A190" s="3" t="s">
        <v>33</v>
      </c>
      <c r="B190" s="4">
        <v>14.0</v>
      </c>
      <c r="C190" s="5" t="str">
        <f t="shared" si="1"/>
        <v>0 days 0 hours 0 minutes</v>
      </c>
      <c r="D190" s="6"/>
      <c r="E190" s="7"/>
      <c r="F190" s="7"/>
      <c r="G190" s="7"/>
      <c r="H190" s="8"/>
      <c r="I190" s="9"/>
      <c r="J190" s="9"/>
      <c r="K190" s="9"/>
      <c r="L190" s="9"/>
      <c r="M190" s="9"/>
      <c r="N190" s="10">
        <f t="shared" si="2"/>
        <v>0</v>
      </c>
      <c r="O190" s="10">
        <f t="shared" si="3"/>
        <v>0</v>
      </c>
    </row>
    <row r="191">
      <c r="A191" s="3" t="s">
        <v>33</v>
      </c>
      <c r="B191" s="4">
        <v>15.0</v>
      </c>
      <c r="C191" s="5" t="str">
        <f t="shared" si="1"/>
        <v>0 days 0 hours 0 minutes</v>
      </c>
      <c r="D191" s="6"/>
      <c r="E191" s="7"/>
      <c r="F191" s="7"/>
      <c r="G191" s="7"/>
      <c r="H191" s="8"/>
      <c r="I191" s="9"/>
      <c r="J191" s="9"/>
      <c r="K191" s="9"/>
      <c r="L191" s="9"/>
      <c r="M191" s="9"/>
      <c r="N191" s="10">
        <f t="shared" si="2"/>
        <v>0</v>
      </c>
      <c r="O191" s="10">
        <f t="shared" si="3"/>
        <v>0</v>
      </c>
    </row>
    <row r="192">
      <c r="A192" s="3" t="s">
        <v>33</v>
      </c>
      <c r="B192" s="4">
        <v>16.0</v>
      </c>
      <c r="C192" s="5" t="str">
        <f t="shared" si="1"/>
        <v>0 days 0 hours 0 minutes</v>
      </c>
      <c r="D192" s="6"/>
      <c r="E192" s="7"/>
      <c r="F192" s="7"/>
      <c r="G192" s="7"/>
      <c r="H192" s="8"/>
      <c r="I192" s="9"/>
      <c r="J192" s="9"/>
      <c r="K192" s="9"/>
      <c r="L192" s="9"/>
      <c r="M192" s="9"/>
      <c r="N192" s="10">
        <f t="shared" si="2"/>
        <v>0</v>
      </c>
      <c r="O192" s="10">
        <f t="shared" si="3"/>
        <v>0</v>
      </c>
    </row>
    <row r="193">
      <c r="A193" s="3" t="s">
        <v>33</v>
      </c>
      <c r="B193" s="4">
        <v>17.0</v>
      </c>
      <c r="C193" s="5" t="str">
        <f t="shared" si="1"/>
        <v>0 days 0 hours 0 minutes</v>
      </c>
      <c r="D193" s="6"/>
      <c r="E193" s="7"/>
      <c r="F193" s="7"/>
      <c r="G193" s="7"/>
      <c r="H193" s="8"/>
      <c r="I193" s="9"/>
      <c r="J193" s="9"/>
      <c r="K193" s="9"/>
      <c r="L193" s="9"/>
      <c r="M193" s="9"/>
      <c r="N193" s="10">
        <f t="shared" si="2"/>
        <v>0</v>
      </c>
      <c r="O193" s="10">
        <f t="shared" si="3"/>
        <v>0</v>
      </c>
    </row>
    <row r="194">
      <c r="A194" s="3" t="s">
        <v>33</v>
      </c>
      <c r="B194" s="4">
        <v>18.0</v>
      </c>
      <c r="C194" s="5" t="str">
        <f t="shared" si="1"/>
        <v>1 days 8 hours 23 minutes</v>
      </c>
      <c r="D194" s="12">
        <v>0.85</v>
      </c>
      <c r="E194" s="11">
        <v>0.0</v>
      </c>
      <c r="F194" s="11">
        <v>17.0</v>
      </c>
      <c r="G194" s="11">
        <v>30.0</v>
      </c>
      <c r="H194" s="13">
        <v>33.0</v>
      </c>
      <c r="I194" s="14">
        <v>70000.0</v>
      </c>
      <c r="J194" s="14">
        <v>70000.0</v>
      </c>
      <c r="K194" s="14">
        <v>37000.0</v>
      </c>
      <c r="L194" s="14">
        <v>5000.0</v>
      </c>
      <c r="M194" s="14"/>
      <c r="N194" s="10">
        <f t="shared" si="2"/>
        <v>63033</v>
      </c>
      <c r="O194" s="10">
        <f t="shared" si="3"/>
        <v>116612</v>
      </c>
    </row>
    <row r="195">
      <c r="A195" s="3" t="s">
        <v>33</v>
      </c>
      <c r="B195" s="4">
        <v>19.0</v>
      </c>
      <c r="C195" s="5" t="str">
        <f t="shared" si="1"/>
        <v>0 days 0 hours 0 minutes</v>
      </c>
      <c r="D195" s="6"/>
      <c r="E195" s="7"/>
      <c r="F195" s="7"/>
      <c r="G195" s="7"/>
      <c r="H195" s="8"/>
      <c r="I195" s="9"/>
      <c r="J195" s="9"/>
      <c r="K195" s="9"/>
      <c r="L195" s="9"/>
      <c r="M195" s="9"/>
      <c r="N195" s="10">
        <f t="shared" si="2"/>
        <v>0</v>
      </c>
      <c r="O195" s="10">
        <f t="shared" si="3"/>
        <v>0</v>
      </c>
    </row>
    <row r="196">
      <c r="A196" s="3" t="s">
        <v>33</v>
      </c>
      <c r="B196" s="4">
        <v>20.0</v>
      </c>
      <c r="C196" s="5" t="str">
        <f t="shared" si="1"/>
        <v>0 days 0 hours 0 minutes</v>
      </c>
      <c r="D196" s="6"/>
      <c r="E196" s="7"/>
      <c r="F196" s="7"/>
      <c r="G196" s="7"/>
      <c r="H196" s="8"/>
      <c r="I196" s="9"/>
      <c r="J196" s="9"/>
      <c r="K196" s="9"/>
      <c r="L196" s="9"/>
      <c r="M196" s="9"/>
      <c r="N196" s="10">
        <f t="shared" si="2"/>
        <v>0</v>
      </c>
      <c r="O196" s="10">
        <f t="shared" si="3"/>
        <v>0</v>
      </c>
    </row>
    <row r="197">
      <c r="A197" s="3" t="s">
        <v>33</v>
      </c>
      <c r="B197" s="4">
        <v>21.0</v>
      </c>
      <c r="C197" s="5" t="str">
        <f t="shared" si="1"/>
        <v>0 days 0 hours 0 minutes</v>
      </c>
      <c r="D197" s="6"/>
      <c r="E197" s="7"/>
      <c r="F197" s="7"/>
      <c r="G197" s="7"/>
      <c r="H197" s="8"/>
      <c r="I197" s="9"/>
      <c r="J197" s="9"/>
      <c r="K197" s="9"/>
      <c r="L197" s="9"/>
      <c r="M197" s="9"/>
      <c r="N197" s="10">
        <f t="shared" si="2"/>
        <v>0</v>
      </c>
      <c r="O197" s="10">
        <f t="shared" si="3"/>
        <v>0</v>
      </c>
    </row>
    <row r="198">
      <c r="A198" s="3" t="s">
        <v>33</v>
      </c>
      <c r="B198" s="4">
        <v>22.0</v>
      </c>
      <c r="C198" s="5" t="str">
        <f t="shared" si="1"/>
        <v>0 days 0 hours 0 minutes</v>
      </c>
      <c r="D198" s="6"/>
      <c r="E198" s="7"/>
      <c r="F198" s="7"/>
      <c r="G198" s="7"/>
      <c r="H198" s="8"/>
      <c r="I198" s="9"/>
      <c r="J198" s="9"/>
      <c r="K198" s="9"/>
      <c r="L198" s="9"/>
      <c r="M198" s="9"/>
      <c r="N198" s="10">
        <f t="shared" si="2"/>
        <v>0</v>
      </c>
      <c r="O198" s="10">
        <f t="shared" si="3"/>
        <v>0</v>
      </c>
    </row>
    <row r="199">
      <c r="A199" s="3" t="s">
        <v>33</v>
      </c>
      <c r="B199" s="4">
        <v>23.0</v>
      </c>
      <c r="C199" s="5" t="str">
        <f t="shared" si="1"/>
        <v>0 days 0 hours 0 minutes</v>
      </c>
      <c r="D199" s="12"/>
      <c r="E199" s="11"/>
      <c r="F199" s="11"/>
      <c r="G199" s="11"/>
      <c r="H199" s="13"/>
      <c r="I199" s="14"/>
      <c r="J199" s="14"/>
      <c r="K199" s="14"/>
      <c r="L199" s="14"/>
      <c r="M199" s="14"/>
      <c r="N199" s="10">
        <f t="shared" si="2"/>
        <v>0</v>
      </c>
      <c r="O199" s="10">
        <f t="shared" si="3"/>
        <v>0</v>
      </c>
    </row>
    <row r="200">
      <c r="A200" s="3" t="s">
        <v>33</v>
      </c>
      <c r="B200" s="4">
        <v>24.0</v>
      </c>
      <c r="C200" s="5" t="str">
        <f t="shared" si="1"/>
        <v>0 days 0 hours 0 minutes</v>
      </c>
      <c r="D200" s="12"/>
      <c r="E200" s="7"/>
      <c r="F200" s="7"/>
      <c r="G200" s="7"/>
      <c r="H200" s="8"/>
      <c r="I200" s="9"/>
      <c r="J200" s="9"/>
      <c r="K200" s="9"/>
      <c r="L200" s="9"/>
      <c r="M200" s="9"/>
      <c r="N200" s="10">
        <f t="shared" si="2"/>
        <v>0</v>
      </c>
      <c r="O200" s="10">
        <f t="shared" si="3"/>
        <v>0</v>
      </c>
    </row>
    <row r="201">
      <c r="A201" s="3" t="s">
        <v>33</v>
      </c>
      <c r="B201" s="4">
        <v>25.0</v>
      </c>
      <c r="C201" s="5" t="str">
        <f t="shared" si="1"/>
        <v>0 days 0 hours 0 minutes</v>
      </c>
      <c r="D201" s="6"/>
      <c r="E201" s="7"/>
      <c r="F201" s="7"/>
      <c r="G201" s="7"/>
      <c r="H201" s="8"/>
      <c r="I201" s="9"/>
      <c r="J201" s="9"/>
      <c r="K201" s="9"/>
      <c r="L201" s="9"/>
      <c r="M201" s="9"/>
      <c r="N201" s="10">
        <f t="shared" si="2"/>
        <v>0</v>
      </c>
      <c r="O201" s="10">
        <f t="shared" si="3"/>
        <v>0</v>
      </c>
    </row>
    <row r="202">
      <c r="A202" s="18" t="s">
        <v>34</v>
      </c>
      <c r="B202" s="19">
        <v>1.0</v>
      </c>
      <c r="C202" s="20" t="str">
        <f t="shared" si="1"/>
        <v>0 days 0 hours 0 minutes</v>
      </c>
      <c r="D202" s="21"/>
      <c r="E202" s="22"/>
      <c r="F202" s="22"/>
      <c r="G202" s="22"/>
      <c r="H202" s="23"/>
      <c r="I202" s="24"/>
      <c r="J202" s="24"/>
      <c r="K202" s="24"/>
      <c r="L202" s="24"/>
      <c r="M202" s="24"/>
      <c r="N202" s="25">
        <f t="shared" si="2"/>
        <v>0</v>
      </c>
      <c r="O202" s="25">
        <f t="shared" si="3"/>
        <v>0</v>
      </c>
    </row>
    <row r="203">
      <c r="A203" s="3" t="s">
        <v>34</v>
      </c>
      <c r="B203" s="4">
        <v>2.0</v>
      </c>
      <c r="C203" s="5" t="str">
        <f t="shared" si="1"/>
        <v>0 days 0 hours 0 minutes</v>
      </c>
      <c r="D203" s="6"/>
      <c r="E203" s="7"/>
      <c r="F203" s="7"/>
      <c r="G203" s="7"/>
      <c r="H203" s="8"/>
      <c r="I203" s="9"/>
      <c r="J203" s="9"/>
      <c r="K203" s="9"/>
      <c r="L203" s="9"/>
      <c r="M203" s="9"/>
      <c r="N203" s="10">
        <f t="shared" si="2"/>
        <v>0</v>
      </c>
      <c r="O203" s="10">
        <f t="shared" si="3"/>
        <v>0</v>
      </c>
    </row>
    <row r="204">
      <c r="A204" s="3" t="s">
        <v>34</v>
      </c>
      <c r="B204" s="4">
        <v>3.0</v>
      </c>
      <c r="C204" s="5" t="str">
        <f t="shared" si="1"/>
        <v>0 days 0 hours 0 minutes</v>
      </c>
      <c r="D204" s="6"/>
      <c r="E204" s="7"/>
      <c r="F204" s="7"/>
      <c r="G204" s="7"/>
      <c r="H204" s="8"/>
      <c r="I204" s="9"/>
      <c r="J204" s="9"/>
      <c r="K204" s="9"/>
      <c r="L204" s="9"/>
      <c r="M204" s="9"/>
      <c r="N204" s="10">
        <f t="shared" si="2"/>
        <v>0</v>
      </c>
      <c r="O204" s="10">
        <f t="shared" si="3"/>
        <v>0</v>
      </c>
    </row>
    <row r="205">
      <c r="A205" s="3" t="s">
        <v>34</v>
      </c>
      <c r="B205" s="4">
        <v>4.0</v>
      </c>
      <c r="C205" s="5" t="str">
        <f t="shared" si="1"/>
        <v>0 days 0 hours 0 minutes</v>
      </c>
      <c r="D205" s="6"/>
      <c r="E205" s="7"/>
      <c r="F205" s="7"/>
      <c r="G205" s="7"/>
      <c r="H205" s="8"/>
      <c r="I205" s="9"/>
      <c r="J205" s="9"/>
      <c r="K205" s="9"/>
      <c r="L205" s="9"/>
      <c r="M205" s="9"/>
      <c r="N205" s="10">
        <f t="shared" si="2"/>
        <v>0</v>
      </c>
      <c r="O205" s="10">
        <f t="shared" si="3"/>
        <v>0</v>
      </c>
    </row>
    <row r="206">
      <c r="A206" s="3" t="s">
        <v>34</v>
      </c>
      <c r="B206" s="4">
        <v>5.0</v>
      </c>
      <c r="C206" s="5" t="str">
        <f t="shared" si="1"/>
        <v>0 days 0 hours 0 minutes</v>
      </c>
      <c r="D206" s="6"/>
      <c r="E206" s="7"/>
      <c r="F206" s="7"/>
      <c r="G206" s="7"/>
      <c r="H206" s="8"/>
      <c r="I206" s="9"/>
      <c r="J206" s="9"/>
      <c r="K206" s="9"/>
      <c r="L206" s="9"/>
      <c r="M206" s="9"/>
      <c r="N206" s="10">
        <f t="shared" si="2"/>
        <v>0</v>
      </c>
      <c r="O206" s="10">
        <f t="shared" si="3"/>
        <v>0</v>
      </c>
    </row>
    <row r="207">
      <c r="A207" s="3" t="s">
        <v>34</v>
      </c>
      <c r="B207" s="4">
        <v>6.0</v>
      </c>
      <c r="C207" s="5" t="str">
        <f t="shared" si="1"/>
        <v>0 days 0 hours 0 minutes</v>
      </c>
      <c r="D207" s="6"/>
      <c r="E207" s="7"/>
      <c r="F207" s="7"/>
      <c r="G207" s="7"/>
      <c r="H207" s="8"/>
      <c r="I207" s="9"/>
      <c r="J207" s="9"/>
      <c r="K207" s="9"/>
      <c r="L207" s="9"/>
      <c r="M207" s="9"/>
      <c r="N207" s="10">
        <f t="shared" si="2"/>
        <v>0</v>
      </c>
      <c r="O207" s="10">
        <f t="shared" si="3"/>
        <v>0</v>
      </c>
    </row>
    <row r="208">
      <c r="A208" s="3" t="s">
        <v>34</v>
      </c>
      <c r="B208" s="4">
        <v>7.0</v>
      </c>
      <c r="C208" s="5" t="str">
        <f t="shared" si="1"/>
        <v>0 days 0 hours 0 minutes</v>
      </c>
      <c r="D208" s="6"/>
      <c r="E208" s="7"/>
      <c r="F208" s="7"/>
      <c r="G208" s="7"/>
      <c r="H208" s="8"/>
      <c r="I208" s="9"/>
      <c r="J208" s="9"/>
      <c r="K208" s="9"/>
      <c r="L208" s="9"/>
      <c r="M208" s="9"/>
      <c r="N208" s="10">
        <f t="shared" si="2"/>
        <v>0</v>
      </c>
      <c r="O208" s="10">
        <f t="shared" si="3"/>
        <v>0</v>
      </c>
    </row>
    <row r="209">
      <c r="A209" s="3" t="s">
        <v>34</v>
      </c>
      <c r="B209" s="4">
        <v>8.0</v>
      </c>
      <c r="C209" s="5" t="str">
        <f t="shared" si="1"/>
        <v>0 days 0 hours 0 minutes</v>
      </c>
      <c r="D209" s="6"/>
      <c r="E209" s="7"/>
      <c r="F209" s="7"/>
      <c r="G209" s="7"/>
      <c r="H209" s="8"/>
      <c r="I209" s="9"/>
      <c r="J209" s="9"/>
      <c r="K209" s="9"/>
      <c r="L209" s="9"/>
      <c r="M209" s="9"/>
      <c r="N209" s="10">
        <f t="shared" si="2"/>
        <v>0</v>
      </c>
      <c r="O209" s="10">
        <f t="shared" si="3"/>
        <v>0</v>
      </c>
    </row>
    <row r="210">
      <c r="A210" s="3" t="s">
        <v>34</v>
      </c>
      <c r="B210" s="4">
        <v>9.0</v>
      </c>
      <c r="C210" s="5" t="str">
        <f t="shared" si="1"/>
        <v>0 days 3 hours 36 minutes</v>
      </c>
      <c r="D210" s="11">
        <v>0.7</v>
      </c>
      <c r="E210" s="11">
        <v>0.0</v>
      </c>
      <c r="F210" s="11">
        <v>2.0</v>
      </c>
      <c r="G210" s="11">
        <v>7.0</v>
      </c>
      <c r="H210" s="13">
        <v>3.0</v>
      </c>
      <c r="I210" s="14">
        <v>61000.0</v>
      </c>
      <c r="J210" s="14">
        <v>61000.0</v>
      </c>
      <c r="K210" s="14">
        <v>46600.0</v>
      </c>
      <c r="L210" s="14">
        <v>0.0</v>
      </c>
      <c r="M210" s="14"/>
      <c r="N210" s="10">
        <f t="shared" si="2"/>
        <v>7623</v>
      </c>
      <c r="O210" s="10">
        <f t="shared" si="3"/>
        <v>12960</v>
      </c>
    </row>
    <row r="211">
      <c r="A211" s="3" t="s">
        <v>34</v>
      </c>
      <c r="B211" s="4">
        <v>10.0</v>
      </c>
      <c r="C211" s="5" t="str">
        <f t="shared" si="1"/>
        <v>0 days 0 hours 0 minutes</v>
      </c>
      <c r="D211" s="6"/>
      <c r="E211" s="7"/>
      <c r="F211" s="7"/>
      <c r="G211" s="7"/>
      <c r="H211" s="8"/>
      <c r="I211" s="9"/>
      <c r="J211" s="9"/>
      <c r="K211" s="9"/>
      <c r="L211" s="9"/>
      <c r="M211" s="9"/>
      <c r="N211" s="10">
        <f t="shared" si="2"/>
        <v>0</v>
      </c>
      <c r="O211" s="10">
        <f t="shared" si="3"/>
        <v>0</v>
      </c>
    </row>
    <row r="212">
      <c r="A212" s="3" t="s">
        <v>34</v>
      </c>
      <c r="B212" s="4">
        <v>11.0</v>
      </c>
      <c r="C212" s="5" t="str">
        <f t="shared" si="1"/>
        <v>0 days 0 hours 0 minutes</v>
      </c>
      <c r="D212" s="6"/>
      <c r="E212" s="7"/>
      <c r="F212" s="7"/>
      <c r="G212" s="7"/>
      <c r="H212" s="8"/>
      <c r="I212" s="9"/>
      <c r="J212" s="9"/>
      <c r="K212" s="9"/>
      <c r="L212" s="9"/>
      <c r="M212" s="9"/>
      <c r="N212" s="10">
        <f t="shared" si="2"/>
        <v>0</v>
      </c>
      <c r="O212" s="10">
        <f t="shared" si="3"/>
        <v>0</v>
      </c>
    </row>
    <row r="213">
      <c r="A213" s="3" t="s">
        <v>34</v>
      </c>
      <c r="B213" s="4">
        <v>12.0</v>
      </c>
      <c r="C213" s="5" t="str">
        <f t="shared" si="1"/>
        <v>0 days 0 hours 0 minutes</v>
      </c>
      <c r="D213" s="6"/>
      <c r="E213" s="7"/>
      <c r="F213" s="7"/>
      <c r="G213" s="7"/>
      <c r="H213" s="8"/>
      <c r="I213" s="9"/>
      <c r="J213" s="9"/>
      <c r="K213" s="9"/>
      <c r="L213" s="9"/>
      <c r="M213" s="9"/>
      <c r="N213" s="10">
        <f t="shared" si="2"/>
        <v>0</v>
      </c>
      <c r="O213" s="10">
        <f t="shared" si="3"/>
        <v>0</v>
      </c>
    </row>
    <row r="214">
      <c r="A214" s="3" t="s">
        <v>34</v>
      </c>
      <c r="B214" s="4">
        <v>13.0</v>
      </c>
      <c r="C214" s="5" t="str">
        <f t="shared" si="1"/>
        <v>0 days 0 hours 0 minutes</v>
      </c>
      <c r="D214" s="6"/>
      <c r="E214" s="7"/>
      <c r="F214" s="7"/>
      <c r="G214" s="7"/>
      <c r="H214" s="8"/>
      <c r="I214" s="9"/>
      <c r="J214" s="9"/>
      <c r="K214" s="9"/>
      <c r="L214" s="9"/>
      <c r="M214" s="9"/>
      <c r="N214" s="10">
        <f t="shared" si="2"/>
        <v>0</v>
      </c>
      <c r="O214" s="10">
        <f t="shared" si="3"/>
        <v>0</v>
      </c>
    </row>
    <row r="215">
      <c r="A215" s="3" t="s">
        <v>34</v>
      </c>
      <c r="B215" s="4">
        <v>14.0</v>
      </c>
      <c r="C215" s="5" t="str">
        <f t="shared" si="1"/>
        <v>0 days 0 hours 0 minutes</v>
      </c>
      <c r="D215" s="6"/>
      <c r="E215" s="7"/>
      <c r="F215" s="7"/>
      <c r="G215" s="7"/>
      <c r="H215" s="8"/>
      <c r="I215" s="9"/>
      <c r="J215" s="9"/>
      <c r="K215" s="9"/>
      <c r="L215" s="9"/>
      <c r="M215" s="9"/>
      <c r="N215" s="10">
        <f t="shared" si="2"/>
        <v>0</v>
      </c>
      <c r="O215" s="10">
        <f t="shared" si="3"/>
        <v>0</v>
      </c>
    </row>
    <row r="216">
      <c r="A216" s="3" t="s">
        <v>34</v>
      </c>
      <c r="B216" s="4">
        <v>15.0</v>
      </c>
      <c r="C216" s="5" t="str">
        <f t="shared" si="1"/>
        <v>0 days 0 hours 0 minutes</v>
      </c>
      <c r="D216" s="6"/>
      <c r="E216" s="7"/>
      <c r="F216" s="7"/>
      <c r="G216" s="7"/>
      <c r="H216" s="8"/>
      <c r="I216" s="9"/>
      <c r="J216" s="9"/>
      <c r="K216" s="9"/>
      <c r="L216" s="9"/>
      <c r="M216" s="9"/>
      <c r="N216" s="10">
        <f t="shared" si="2"/>
        <v>0</v>
      </c>
      <c r="O216" s="10">
        <f t="shared" si="3"/>
        <v>0</v>
      </c>
    </row>
    <row r="217">
      <c r="A217" s="3" t="s">
        <v>34</v>
      </c>
      <c r="B217" s="4">
        <v>16.0</v>
      </c>
      <c r="C217" s="5" t="str">
        <f t="shared" si="1"/>
        <v>0 days 0 hours 0 minutes</v>
      </c>
      <c r="D217" s="6"/>
      <c r="E217" s="7"/>
      <c r="F217" s="7"/>
      <c r="G217" s="7"/>
      <c r="H217" s="8"/>
      <c r="I217" s="9"/>
      <c r="J217" s="9"/>
      <c r="K217" s="9"/>
      <c r="L217" s="9"/>
      <c r="M217" s="9"/>
      <c r="N217" s="10">
        <f t="shared" si="2"/>
        <v>0</v>
      </c>
      <c r="O217" s="10">
        <f t="shared" si="3"/>
        <v>0</v>
      </c>
    </row>
    <row r="218">
      <c r="A218" s="3" t="s">
        <v>34</v>
      </c>
      <c r="B218" s="4">
        <v>17.0</v>
      </c>
      <c r="C218" s="5" t="str">
        <f t="shared" si="1"/>
        <v>0 days 0 hours 0 minutes</v>
      </c>
      <c r="D218" s="6"/>
      <c r="E218" s="7"/>
      <c r="F218" s="7"/>
      <c r="G218" s="7"/>
      <c r="H218" s="8"/>
      <c r="I218" s="9"/>
      <c r="J218" s="9"/>
      <c r="K218" s="9"/>
      <c r="L218" s="9"/>
      <c r="M218" s="9"/>
      <c r="N218" s="10">
        <f t="shared" si="2"/>
        <v>0</v>
      </c>
      <c r="O218" s="10">
        <f t="shared" si="3"/>
        <v>0</v>
      </c>
    </row>
    <row r="219">
      <c r="A219" s="3" t="s">
        <v>34</v>
      </c>
      <c r="B219" s="4">
        <v>18.0</v>
      </c>
      <c r="C219" s="5" t="str">
        <f t="shared" si="1"/>
        <v>0 days 0 hours 0 minutes</v>
      </c>
      <c r="D219" s="6"/>
      <c r="E219" s="7"/>
      <c r="F219" s="7"/>
      <c r="G219" s="7"/>
      <c r="H219" s="8"/>
      <c r="I219" s="14">
        <v>2000000.0</v>
      </c>
      <c r="J219" s="14">
        <v>2000000.0</v>
      </c>
      <c r="K219" s="14">
        <v>1500000.0</v>
      </c>
      <c r="L219" s="14">
        <v>198000.0</v>
      </c>
      <c r="M219" s="14"/>
      <c r="N219" s="10">
        <f t="shared" si="2"/>
        <v>0</v>
      </c>
      <c r="O219" s="10">
        <f t="shared" si="3"/>
        <v>0</v>
      </c>
    </row>
    <row r="220">
      <c r="A220" s="3" t="s">
        <v>34</v>
      </c>
      <c r="B220" s="4">
        <v>19.0</v>
      </c>
      <c r="C220" s="5" t="str">
        <f t="shared" si="1"/>
        <v>0 days 0 hours 0 minutes</v>
      </c>
      <c r="D220" s="6"/>
      <c r="E220" s="7"/>
      <c r="F220" s="7"/>
      <c r="G220" s="7"/>
      <c r="H220" s="8"/>
      <c r="I220" s="9"/>
      <c r="J220" s="9"/>
      <c r="K220" s="9"/>
      <c r="L220" s="9"/>
      <c r="M220" s="9"/>
      <c r="N220" s="10">
        <f t="shared" si="2"/>
        <v>0</v>
      </c>
      <c r="O220" s="10">
        <f t="shared" si="3"/>
        <v>0</v>
      </c>
    </row>
    <row r="221">
      <c r="A221" s="3" t="s">
        <v>34</v>
      </c>
      <c r="B221" s="4">
        <v>20.0</v>
      </c>
      <c r="C221" s="5" t="str">
        <f t="shared" si="1"/>
        <v>1 days 3 hours 52 minutes</v>
      </c>
      <c r="D221" s="12">
        <v>0.85</v>
      </c>
      <c r="E221" s="11">
        <v>0.0</v>
      </c>
      <c r="F221" s="11">
        <v>15.0</v>
      </c>
      <c r="G221" s="11">
        <v>3.0</v>
      </c>
      <c r="H221" s="13">
        <v>54.0</v>
      </c>
      <c r="I221" s="14">
        <v>4000000.0</v>
      </c>
      <c r="J221" s="14">
        <v>4000000.0</v>
      </c>
      <c r="K221" s="14">
        <v>3000000.0</v>
      </c>
      <c r="L221" s="14">
        <v>398000.0</v>
      </c>
      <c r="M221" s="14"/>
      <c r="N221" s="10">
        <f t="shared" si="2"/>
        <v>54234</v>
      </c>
      <c r="O221" s="10">
        <f t="shared" si="3"/>
        <v>100333</v>
      </c>
    </row>
    <row r="222">
      <c r="A222" s="3" t="s">
        <v>34</v>
      </c>
      <c r="B222" s="4">
        <v>21.0</v>
      </c>
      <c r="C222" s="5" t="str">
        <f t="shared" si="1"/>
        <v>0 days 0 hours 0 minutes</v>
      </c>
      <c r="D222" s="6"/>
      <c r="E222" s="7"/>
      <c r="F222" s="7"/>
      <c r="G222" s="7"/>
      <c r="H222" s="8"/>
      <c r="I222" s="9"/>
      <c r="J222" s="9"/>
      <c r="K222" s="9"/>
      <c r="L222" s="9"/>
      <c r="M222" s="9"/>
      <c r="N222" s="10">
        <f t="shared" si="2"/>
        <v>0</v>
      </c>
      <c r="O222" s="10">
        <f t="shared" si="3"/>
        <v>0</v>
      </c>
    </row>
    <row r="223">
      <c r="A223" s="3" t="s">
        <v>34</v>
      </c>
      <c r="B223" s="4">
        <v>22.0</v>
      </c>
      <c r="C223" s="5" t="str">
        <f t="shared" si="1"/>
        <v>1 days 19 hours 28 minutes</v>
      </c>
      <c r="D223" s="12">
        <v>0.7</v>
      </c>
      <c r="E223" s="11">
        <v>1.0</v>
      </c>
      <c r="F223" s="11">
        <v>1.0</v>
      </c>
      <c r="G223" s="11">
        <v>34.0</v>
      </c>
      <c r="H223" s="13">
        <v>15.0</v>
      </c>
      <c r="I223" s="14">
        <v>8900000.0</v>
      </c>
      <c r="J223" s="14">
        <v>8900000.0</v>
      </c>
      <c r="K223" s="14">
        <v>6700000.0</v>
      </c>
      <c r="L223" s="14">
        <v>900000.0</v>
      </c>
      <c r="M223" s="14"/>
      <c r="N223" s="10">
        <f t="shared" si="2"/>
        <v>92055</v>
      </c>
      <c r="O223" s="10">
        <f t="shared" si="3"/>
        <v>156494</v>
      </c>
    </row>
    <row r="224">
      <c r="A224" s="3" t="s">
        <v>34</v>
      </c>
      <c r="B224" s="4">
        <v>23.0</v>
      </c>
      <c r="C224" s="5" t="str">
        <f t="shared" si="1"/>
        <v>0 days 0 hours 0 minutes</v>
      </c>
      <c r="D224" s="12"/>
      <c r="E224" s="11"/>
      <c r="F224" s="11"/>
      <c r="G224" s="11"/>
      <c r="H224" s="13"/>
      <c r="I224" s="14">
        <v>1.34E7</v>
      </c>
      <c r="J224" s="14">
        <v>1.34E7</v>
      </c>
      <c r="K224" s="14">
        <v>1.01E7</v>
      </c>
      <c r="L224" s="14">
        <v>1300000.0</v>
      </c>
      <c r="M224" s="14"/>
      <c r="N224" s="10">
        <f t="shared" si="2"/>
        <v>0</v>
      </c>
      <c r="O224" s="10">
        <f t="shared" si="3"/>
        <v>0</v>
      </c>
    </row>
    <row r="225">
      <c r="A225" s="3" t="s">
        <v>34</v>
      </c>
      <c r="B225" s="4">
        <v>24.0</v>
      </c>
      <c r="C225" s="5" t="str">
        <f t="shared" si="1"/>
        <v>3 days 19 hours 16 minutes</v>
      </c>
      <c r="D225" s="12">
        <v>0.7</v>
      </c>
      <c r="E225" s="11">
        <v>2.0</v>
      </c>
      <c r="F225" s="11">
        <v>5.0</v>
      </c>
      <c r="G225" s="11">
        <v>41.0</v>
      </c>
      <c r="H225" s="13">
        <v>39.0</v>
      </c>
      <c r="I225" s="14">
        <v>2.02E7</v>
      </c>
      <c r="J225" s="14">
        <v>2.02E7</v>
      </c>
      <c r="K225" s="14">
        <v>1.52E7</v>
      </c>
      <c r="L225" s="14">
        <v>2000000.0</v>
      </c>
      <c r="M225" s="14"/>
      <c r="N225" s="10">
        <f t="shared" si="2"/>
        <v>193299</v>
      </c>
      <c r="O225" s="10">
        <f t="shared" si="3"/>
        <v>328609</v>
      </c>
    </row>
    <row r="226">
      <c r="A226" s="3" t="s">
        <v>34</v>
      </c>
      <c r="B226" s="4">
        <v>25.0</v>
      </c>
      <c r="C226" s="5" t="str">
        <f t="shared" si="1"/>
        <v>0 days 0 hours 0 minutes</v>
      </c>
      <c r="D226" s="6"/>
      <c r="E226" s="7"/>
      <c r="F226" s="7"/>
      <c r="G226" s="7"/>
      <c r="H226" s="8"/>
      <c r="I226" s="9"/>
      <c r="J226" s="9"/>
      <c r="K226" s="9"/>
      <c r="L226" s="9"/>
      <c r="M226" s="9"/>
      <c r="N226" s="10">
        <f t="shared" si="2"/>
        <v>0</v>
      </c>
      <c r="O226" s="10">
        <f t="shared" si="3"/>
        <v>0</v>
      </c>
    </row>
    <row r="227">
      <c r="A227" s="18" t="s">
        <v>35</v>
      </c>
      <c r="B227" s="19">
        <v>1.0</v>
      </c>
      <c r="C227" s="20" t="str">
        <f t="shared" si="1"/>
        <v>0 days 0 hours 0 minutes</v>
      </c>
      <c r="D227" s="21"/>
      <c r="E227" s="22"/>
      <c r="F227" s="22"/>
      <c r="G227" s="22"/>
      <c r="H227" s="23"/>
      <c r="I227" s="24"/>
      <c r="J227" s="24"/>
      <c r="K227" s="24"/>
      <c r="L227" s="24"/>
      <c r="M227" s="24"/>
      <c r="N227" s="25">
        <f t="shared" si="2"/>
        <v>0</v>
      </c>
      <c r="O227" s="25">
        <f t="shared" si="3"/>
        <v>0</v>
      </c>
    </row>
    <row r="228">
      <c r="A228" s="3" t="s">
        <v>35</v>
      </c>
      <c r="B228" s="4">
        <v>2.0</v>
      </c>
      <c r="C228" s="5" t="str">
        <f t="shared" si="1"/>
        <v>0 days 0 hours 0 minutes</v>
      </c>
      <c r="D228" s="6"/>
      <c r="E228" s="7"/>
      <c r="F228" s="7"/>
      <c r="G228" s="7"/>
      <c r="H228" s="8"/>
      <c r="I228" s="9"/>
      <c r="J228" s="9"/>
      <c r="K228" s="9"/>
      <c r="L228" s="9"/>
      <c r="M228" s="9"/>
      <c r="N228" s="10">
        <f t="shared" si="2"/>
        <v>0</v>
      </c>
      <c r="O228" s="10">
        <f t="shared" si="3"/>
        <v>0</v>
      </c>
    </row>
    <row r="229">
      <c r="A229" s="3" t="s">
        <v>35</v>
      </c>
      <c r="B229" s="4">
        <v>3.0</v>
      </c>
      <c r="C229" s="5" t="str">
        <f t="shared" si="1"/>
        <v>0 days 0 hours 0 minutes</v>
      </c>
      <c r="D229" s="6"/>
      <c r="E229" s="7"/>
      <c r="F229" s="7"/>
      <c r="G229" s="7"/>
      <c r="H229" s="8"/>
      <c r="I229" s="9"/>
      <c r="J229" s="9"/>
      <c r="K229" s="9"/>
      <c r="L229" s="9"/>
      <c r="M229" s="9"/>
      <c r="N229" s="10">
        <f t="shared" si="2"/>
        <v>0</v>
      </c>
      <c r="O229" s="10">
        <f t="shared" si="3"/>
        <v>0</v>
      </c>
    </row>
    <row r="230">
      <c r="A230" s="3" t="s">
        <v>35</v>
      </c>
      <c r="B230" s="4">
        <v>4.0</v>
      </c>
      <c r="C230" s="5" t="str">
        <f t="shared" si="1"/>
        <v>0 days 0 hours 0 minutes</v>
      </c>
      <c r="D230" s="6"/>
      <c r="E230" s="7"/>
      <c r="F230" s="7"/>
      <c r="G230" s="7"/>
      <c r="H230" s="8"/>
      <c r="I230" s="9"/>
      <c r="J230" s="9"/>
      <c r="K230" s="9"/>
      <c r="L230" s="9"/>
      <c r="M230" s="9"/>
      <c r="N230" s="10">
        <f t="shared" si="2"/>
        <v>0</v>
      </c>
      <c r="O230" s="10">
        <f t="shared" si="3"/>
        <v>0</v>
      </c>
    </row>
    <row r="231">
      <c r="A231" s="3" t="s">
        <v>35</v>
      </c>
      <c r="B231" s="4">
        <v>5.0</v>
      </c>
      <c r="C231" s="5" t="str">
        <f t="shared" si="1"/>
        <v>0 days 0 hours 0 minutes</v>
      </c>
      <c r="D231" s="6"/>
      <c r="E231" s="7"/>
      <c r="F231" s="7"/>
      <c r="G231" s="7"/>
      <c r="H231" s="8"/>
      <c r="I231" s="9"/>
      <c r="J231" s="9"/>
      <c r="K231" s="9"/>
      <c r="L231" s="9"/>
      <c r="M231" s="9"/>
      <c r="N231" s="10">
        <f t="shared" si="2"/>
        <v>0</v>
      </c>
      <c r="O231" s="10">
        <f t="shared" si="3"/>
        <v>0</v>
      </c>
    </row>
    <row r="232">
      <c r="A232" s="3" t="s">
        <v>35</v>
      </c>
      <c r="B232" s="4">
        <v>6.0</v>
      </c>
      <c r="C232" s="5" t="str">
        <f t="shared" si="1"/>
        <v>0 days 0 hours 0 minutes</v>
      </c>
      <c r="D232" s="6"/>
      <c r="E232" s="7"/>
      <c r="F232" s="7"/>
      <c r="G232" s="7"/>
      <c r="H232" s="8"/>
      <c r="I232" s="9"/>
      <c r="J232" s="9"/>
      <c r="K232" s="9"/>
      <c r="L232" s="9"/>
      <c r="M232" s="9"/>
      <c r="N232" s="10">
        <f t="shared" si="2"/>
        <v>0</v>
      </c>
      <c r="O232" s="10">
        <f t="shared" si="3"/>
        <v>0</v>
      </c>
    </row>
    <row r="233">
      <c r="A233" s="3" t="s">
        <v>35</v>
      </c>
      <c r="B233" s="4">
        <v>7.0</v>
      </c>
      <c r="C233" s="5" t="str">
        <f t="shared" si="1"/>
        <v>0 days 0 hours 0 minutes</v>
      </c>
      <c r="D233" s="6"/>
      <c r="E233" s="7"/>
      <c r="F233" s="7"/>
      <c r="G233" s="7"/>
      <c r="H233" s="8"/>
      <c r="I233" s="9"/>
      <c r="J233" s="9"/>
      <c r="K233" s="9"/>
      <c r="L233" s="9"/>
      <c r="M233" s="9"/>
      <c r="N233" s="10">
        <f t="shared" si="2"/>
        <v>0</v>
      </c>
      <c r="O233" s="10">
        <f t="shared" si="3"/>
        <v>0</v>
      </c>
    </row>
    <row r="234">
      <c r="A234" s="3" t="s">
        <v>35</v>
      </c>
      <c r="B234" s="4">
        <v>8.0</v>
      </c>
      <c r="C234" s="5" t="str">
        <f t="shared" si="1"/>
        <v>0 days 0 hours 0 minutes</v>
      </c>
      <c r="D234" s="6"/>
      <c r="E234" s="7"/>
      <c r="F234" s="7"/>
      <c r="G234" s="7"/>
      <c r="H234" s="8"/>
      <c r="I234" s="9"/>
      <c r="J234" s="9"/>
      <c r="K234" s="9"/>
      <c r="L234" s="9"/>
      <c r="M234" s="9"/>
      <c r="N234" s="10">
        <f t="shared" si="2"/>
        <v>0</v>
      </c>
      <c r="O234" s="10">
        <f t="shared" si="3"/>
        <v>0</v>
      </c>
    </row>
    <row r="235">
      <c r="A235" s="3" t="s">
        <v>35</v>
      </c>
      <c r="B235" s="4">
        <v>9.0</v>
      </c>
      <c r="C235" s="5" t="str">
        <f t="shared" si="1"/>
        <v>0 days 0 hours 0 minutes</v>
      </c>
      <c r="D235" s="6"/>
      <c r="E235" s="7"/>
      <c r="F235" s="7"/>
      <c r="G235" s="7"/>
      <c r="H235" s="8"/>
      <c r="I235" s="9"/>
      <c r="J235" s="9"/>
      <c r="K235" s="9"/>
      <c r="L235" s="9"/>
      <c r="M235" s="9"/>
      <c r="N235" s="10">
        <f t="shared" si="2"/>
        <v>0</v>
      </c>
      <c r="O235" s="10">
        <f t="shared" si="3"/>
        <v>0</v>
      </c>
    </row>
    <row r="236">
      <c r="A236" s="3" t="s">
        <v>35</v>
      </c>
      <c r="B236" s="4">
        <v>10.0</v>
      </c>
      <c r="C236" s="5" t="str">
        <f t="shared" si="1"/>
        <v>0 days 0 hours 0 minutes</v>
      </c>
      <c r="D236" s="6"/>
      <c r="E236" s="7"/>
      <c r="F236" s="7"/>
      <c r="G236" s="7"/>
      <c r="H236" s="8"/>
      <c r="I236" s="9"/>
      <c r="J236" s="9"/>
      <c r="K236" s="9"/>
      <c r="L236" s="9"/>
      <c r="M236" s="9"/>
      <c r="N236" s="10">
        <f t="shared" si="2"/>
        <v>0</v>
      </c>
      <c r="O236" s="10">
        <f t="shared" si="3"/>
        <v>0</v>
      </c>
    </row>
    <row r="237">
      <c r="A237" s="3" t="s">
        <v>35</v>
      </c>
      <c r="B237" s="4">
        <v>11.0</v>
      </c>
      <c r="C237" s="5" t="str">
        <f t="shared" si="1"/>
        <v>0 days 0 hours 0 minutes</v>
      </c>
      <c r="D237" s="6"/>
      <c r="E237" s="7"/>
      <c r="F237" s="7"/>
      <c r="G237" s="7"/>
      <c r="H237" s="8"/>
      <c r="I237" s="9"/>
      <c r="J237" s="9"/>
      <c r="K237" s="9"/>
      <c r="L237" s="9"/>
      <c r="M237" s="9"/>
      <c r="N237" s="10">
        <f t="shared" si="2"/>
        <v>0</v>
      </c>
      <c r="O237" s="10">
        <f t="shared" si="3"/>
        <v>0</v>
      </c>
    </row>
    <row r="238">
      <c r="A238" s="3" t="s">
        <v>35</v>
      </c>
      <c r="B238" s="4">
        <v>12.0</v>
      </c>
      <c r="C238" s="5" t="str">
        <f t="shared" si="1"/>
        <v>0 days 0 hours 0 minutes</v>
      </c>
      <c r="D238" s="6"/>
      <c r="E238" s="7"/>
      <c r="F238" s="7"/>
      <c r="G238" s="7"/>
      <c r="H238" s="8"/>
      <c r="I238" s="9"/>
      <c r="J238" s="9"/>
      <c r="K238" s="9"/>
      <c r="L238" s="9"/>
      <c r="M238" s="9"/>
      <c r="N238" s="10">
        <f t="shared" si="2"/>
        <v>0</v>
      </c>
      <c r="O238" s="10">
        <f t="shared" si="3"/>
        <v>0</v>
      </c>
    </row>
    <row r="239">
      <c r="A239" s="3" t="s">
        <v>35</v>
      </c>
      <c r="B239" s="4">
        <v>13.0</v>
      </c>
      <c r="C239" s="5" t="str">
        <f t="shared" si="1"/>
        <v>0 days 0 hours 0 minutes</v>
      </c>
      <c r="D239" s="6"/>
      <c r="E239" s="7"/>
      <c r="F239" s="7"/>
      <c r="G239" s="7"/>
      <c r="H239" s="8"/>
      <c r="I239" s="9"/>
      <c r="J239" s="9"/>
      <c r="K239" s="9"/>
      <c r="L239" s="9"/>
      <c r="M239" s="9"/>
      <c r="N239" s="10">
        <f t="shared" si="2"/>
        <v>0</v>
      </c>
      <c r="O239" s="10">
        <f t="shared" si="3"/>
        <v>0</v>
      </c>
    </row>
    <row r="240">
      <c r="A240" s="3" t="s">
        <v>35</v>
      </c>
      <c r="B240" s="4">
        <v>14.0</v>
      </c>
      <c r="C240" s="5" t="str">
        <f t="shared" si="1"/>
        <v>0 days 0 hours 0 minutes</v>
      </c>
      <c r="D240" s="6"/>
      <c r="E240" s="7"/>
      <c r="F240" s="7"/>
      <c r="G240" s="7"/>
      <c r="H240" s="8"/>
      <c r="I240" s="9"/>
      <c r="J240" s="9"/>
      <c r="K240" s="9"/>
      <c r="L240" s="9"/>
      <c r="M240" s="9"/>
      <c r="N240" s="10">
        <f t="shared" si="2"/>
        <v>0</v>
      </c>
      <c r="O240" s="10">
        <f t="shared" si="3"/>
        <v>0</v>
      </c>
    </row>
    <row r="241">
      <c r="A241" s="3" t="s">
        <v>35</v>
      </c>
      <c r="B241" s="4">
        <v>15.0</v>
      </c>
      <c r="C241" s="5" t="str">
        <f t="shared" si="1"/>
        <v>0 days 0 hours 0 minutes</v>
      </c>
      <c r="D241" s="6"/>
      <c r="E241" s="7"/>
      <c r="F241" s="7"/>
      <c r="G241" s="7"/>
      <c r="H241" s="8"/>
      <c r="I241" s="9"/>
      <c r="J241" s="9"/>
      <c r="K241" s="9"/>
      <c r="L241" s="9"/>
      <c r="M241" s="9"/>
      <c r="N241" s="10">
        <f t="shared" si="2"/>
        <v>0</v>
      </c>
      <c r="O241" s="10">
        <f t="shared" si="3"/>
        <v>0</v>
      </c>
    </row>
    <row r="242">
      <c r="A242" s="3" t="s">
        <v>35</v>
      </c>
      <c r="B242" s="4">
        <v>16.0</v>
      </c>
      <c r="C242" s="5" t="str">
        <f t="shared" si="1"/>
        <v>0 days 0 hours 0 minutes</v>
      </c>
      <c r="D242" s="6"/>
      <c r="E242" s="7"/>
      <c r="F242" s="7"/>
      <c r="G242" s="7"/>
      <c r="H242" s="8"/>
      <c r="I242" s="9"/>
      <c r="J242" s="9"/>
      <c r="K242" s="9"/>
      <c r="L242" s="9"/>
      <c r="M242" s="9"/>
      <c r="N242" s="10">
        <f t="shared" si="2"/>
        <v>0</v>
      </c>
      <c r="O242" s="10">
        <f t="shared" si="3"/>
        <v>0</v>
      </c>
    </row>
    <row r="243">
      <c r="A243" s="3" t="s">
        <v>35</v>
      </c>
      <c r="B243" s="4">
        <v>17.0</v>
      </c>
      <c r="C243" s="5" t="str">
        <f t="shared" si="1"/>
        <v>0 days 0 hours 0 minutes</v>
      </c>
      <c r="D243" s="6"/>
      <c r="E243" s="7"/>
      <c r="F243" s="7"/>
      <c r="G243" s="7"/>
      <c r="H243" s="8"/>
      <c r="I243" s="9"/>
      <c r="J243" s="9"/>
      <c r="K243" s="9"/>
      <c r="L243" s="9"/>
      <c r="M243" s="9"/>
      <c r="N243" s="10">
        <f t="shared" si="2"/>
        <v>0</v>
      </c>
      <c r="O243" s="10">
        <f t="shared" si="3"/>
        <v>0</v>
      </c>
    </row>
    <row r="244">
      <c r="A244" s="3" t="s">
        <v>35</v>
      </c>
      <c r="B244" s="4">
        <v>18.0</v>
      </c>
      <c r="C244" s="5" t="str">
        <f t="shared" si="1"/>
        <v>0 days 0 hours 0 minutes</v>
      </c>
      <c r="D244" s="6"/>
      <c r="E244" s="7"/>
      <c r="F244" s="7"/>
      <c r="G244" s="7"/>
      <c r="H244" s="8"/>
      <c r="I244" s="9"/>
      <c r="J244" s="9"/>
      <c r="K244" s="9"/>
      <c r="L244" s="9"/>
      <c r="M244" s="9"/>
      <c r="N244" s="10">
        <f t="shared" si="2"/>
        <v>0</v>
      </c>
      <c r="O244" s="10">
        <f t="shared" si="3"/>
        <v>0</v>
      </c>
    </row>
    <row r="245">
      <c r="A245" s="3" t="s">
        <v>35</v>
      </c>
      <c r="B245" s="4">
        <v>19.0</v>
      </c>
      <c r="C245" s="5" t="str">
        <f t="shared" si="1"/>
        <v>0 days 0 hours 0 minutes</v>
      </c>
      <c r="D245" s="6"/>
      <c r="E245" s="7"/>
      <c r="F245" s="7"/>
      <c r="G245" s="7"/>
      <c r="H245" s="8"/>
      <c r="I245" s="9"/>
      <c r="J245" s="9"/>
      <c r="K245" s="9"/>
      <c r="L245" s="9"/>
      <c r="M245" s="9"/>
      <c r="N245" s="10">
        <f t="shared" si="2"/>
        <v>0</v>
      </c>
      <c r="O245" s="10">
        <f t="shared" si="3"/>
        <v>0</v>
      </c>
    </row>
    <row r="246">
      <c r="A246" s="3" t="s">
        <v>35</v>
      </c>
      <c r="B246" s="4">
        <v>20.0</v>
      </c>
      <c r="C246" s="5" t="str">
        <f t="shared" si="1"/>
        <v>0 days 0 hours 0 minutes</v>
      </c>
      <c r="D246" s="6"/>
      <c r="E246" s="7"/>
      <c r="F246" s="7"/>
      <c r="G246" s="7"/>
      <c r="H246" s="8"/>
      <c r="I246" s="9"/>
      <c r="J246" s="9"/>
      <c r="K246" s="9"/>
      <c r="L246" s="9"/>
      <c r="M246" s="9"/>
      <c r="N246" s="10">
        <f t="shared" si="2"/>
        <v>0</v>
      </c>
      <c r="O246" s="10">
        <f t="shared" si="3"/>
        <v>0</v>
      </c>
    </row>
    <row r="247">
      <c r="A247" s="3" t="s">
        <v>35</v>
      </c>
      <c r="B247" s="4">
        <v>21.0</v>
      </c>
      <c r="C247" s="5" t="str">
        <f t="shared" si="1"/>
        <v>0 days 0 hours 0 minutes</v>
      </c>
      <c r="D247" s="6"/>
      <c r="E247" s="7"/>
      <c r="F247" s="7"/>
      <c r="G247" s="7"/>
      <c r="H247" s="8"/>
      <c r="I247" s="9"/>
      <c r="J247" s="9"/>
      <c r="K247" s="9"/>
      <c r="L247" s="9"/>
      <c r="M247" s="9"/>
      <c r="N247" s="10">
        <f t="shared" si="2"/>
        <v>0</v>
      </c>
      <c r="O247" s="10">
        <f t="shared" si="3"/>
        <v>0</v>
      </c>
    </row>
    <row r="248">
      <c r="A248" s="3" t="s">
        <v>35</v>
      </c>
      <c r="B248" s="4">
        <v>22.0</v>
      </c>
      <c r="C248" s="5" t="str">
        <f t="shared" si="1"/>
        <v>0 days 0 hours 0 minutes</v>
      </c>
      <c r="D248" s="6"/>
      <c r="E248" s="7"/>
      <c r="F248" s="7"/>
      <c r="G248" s="7"/>
      <c r="H248" s="8"/>
      <c r="I248" s="9"/>
      <c r="J248" s="9"/>
      <c r="K248" s="9"/>
      <c r="L248" s="9"/>
      <c r="M248" s="9"/>
      <c r="N248" s="10">
        <f t="shared" si="2"/>
        <v>0</v>
      </c>
      <c r="O248" s="10">
        <f t="shared" si="3"/>
        <v>0</v>
      </c>
    </row>
    <row r="249">
      <c r="A249" s="3" t="s">
        <v>35</v>
      </c>
      <c r="B249" s="4">
        <v>23.0</v>
      </c>
      <c r="C249" s="5" t="str">
        <f t="shared" si="1"/>
        <v>0 days 0 hours 0 minutes</v>
      </c>
      <c r="D249" s="12"/>
      <c r="E249" s="11"/>
      <c r="F249" s="11"/>
      <c r="G249" s="11"/>
      <c r="H249" s="13"/>
      <c r="I249" s="14"/>
      <c r="J249" s="14"/>
      <c r="K249" s="14"/>
      <c r="L249" s="14"/>
      <c r="M249" s="14"/>
      <c r="N249" s="10">
        <f t="shared" si="2"/>
        <v>0</v>
      </c>
      <c r="O249" s="10">
        <f t="shared" si="3"/>
        <v>0</v>
      </c>
    </row>
    <row r="250">
      <c r="A250" s="3" t="s">
        <v>35</v>
      </c>
      <c r="B250" s="4">
        <v>24.0</v>
      </c>
      <c r="C250" s="5" t="str">
        <f t="shared" si="1"/>
        <v>10 days 7 hours 54 minutes</v>
      </c>
      <c r="D250" s="12">
        <v>0.65</v>
      </c>
      <c r="E250" s="11">
        <v>6.0</v>
      </c>
      <c r="F250" s="11">
        <v>6.0</v>
      </c>
      <c r="G250" s="11">
        <v>14.0</v>
      </c>
      <c r="H250" s="13">
        <v>59.0</v>
      </c>
      <c r="I250" s="14">
        <v>8900000.0</v>
      </c>
      <c r="J250" s="14">
        <v>8900000.0</v>
      </c>
      <c r="K250" s="14">
        <v>9500000.0</v>
      </c>
      <c r="L250" s="14">
        <v>880000.0</v>
      </c>
      <c r="M250" s="9"/>
      <c r="N250" s="10">
        <f t="shared" si="2"/>
        <v>540899</v>
      </c>
      <c r="O250" s="10">
        <f t="shared" si="3"/>
        <v>892484</v>
      </c>
    </row>
    <row r="251">
      <c r="A251" s="3" t="s">
        <v>35</v>
      </c>
      <c r="B251" s="4">
        <v>25.0</v>
      </c>
      <c r="C251" s="5" t="str">
        <f t="shared" si="1"/>
        <v>0 days 0 hours 0 minutes</v>
      </c>
      <c r="D251" s="6"/>
      <c r="E251" s="7"/>
      <c r="F251" s="7"/>
      <c r="G251" s="7"/>
      <c r="H251" s="8"/>
      <c r="I251" s="9"/>
      <c r="J251" s="9"/>
      <c r="K251" s="9"/>
      <c r="L251" s="9"/>
      <c r="M251" s="9"/>
      <c r="N251" s="10">
        <f t="shared" si="2"/>
        <v>0</v>
      </c>
      <c r="O251" s="10">
        <f t="shared" si="3"/>
        <v>0</v>
      </c>
    </row>
    <row r="252">
      <c r="A252" s="18" t="s">
        <v>36</v>
      </c>
      <c r="B252" s="19">
        <v>1.0</v>
      </c>
      <c r="C252" s="20" t="str">
        <f t="shared" si="1"/>
        <v>0 days 0 hours 0 minutes</v>
      </c>
      <c r="D252" s="21"/>
      <c r="E252" s="22"/>
      <c r="F252" s="22"/>
      <c r="G252" s="22"/>
      <c r="H252" s="23"/>
      <c r="I252" s="24"/>
      <c r="J252" s="24"/>
      <c r="K252" s="24"/>
      <c r="L252" s="24"/>
      <c r="M252" s="24"/>
      <c r="N252" s="25">
        <f t="shared" si="2"/>
        <v>0</v>
      </c>
      <c r="O252" s="25">
        <f t="shared" si="3"/>
        <v>0</v>
      </c>
    </row>
    <row r="253">
      <c r="A253" s="3" t="s">
        <v>36</v>
      </c>
      <c r="B253" s="4">
        <v>2.0</v>
      </c>
      <c r="C253" s="5" t="str">
        <f t="shared" si="1"/>
        <v>0 days 0 hours 0 minutes</v>
      </c>
      <c r="D253" s="6"/>
      <c r="E253" s="7"/>
      <c r="F253" s="7"/>
      <c r="G253" s="7"/>
      <c r="H253" s="8"/>
      <c r="I253" s="9"/>
      <c r="J253" s="9"/>
      <c r="K253" s="9"/>
      <c r="L253" s="9"/>
      <c r="M253" s="9"/>
      <c r="N253" s="10">
        <f t="shared" si="2"/>
        <v>0</v>
      </c>
      <c r="O253" s="10">
        <f t="shared" si="3"/>
        <v>0</v>
      </c>
    </row>
    <row r="254">
      <c r="A254" s="3" t="s">
        <v>36</v>
      </c>
      <c r="B254" s="4">
        <v>3.0</v>
      </c>
      <c r="C254" s="5" t="str">
        <f t="shared" si="1"/>
        <v>0 days 0 hours 0 minutes</v>
      </c>
      <c r="D254" s="6"/>
      <c r="E254" s="7"/>
      <c r="F254" s="7"/>
      <c r="G254" s="7"/>
      <c r="H254" s="8"/>
      <c r="I254" s="9"/>
      <c r="J254" s="9"/>
      <c r="K254" s="9"/>
      <c r="L254" s="9"/>
      <c r="M254" s="9"/>
      <c r="N254" s="10">
        <f t="shared" si="2"/>
        <v>0</v>
      </c>
      <c r="O254" s="10">
        <f t="shared" si="3"/>
        <v>0</v>
      </c>
    </row>
    <row r="255">
      <c r="A255" s="3" t="s">
        <v>36</v>
      </c>
      <c r="B255" s="4">
        <v>4.0</v>
      </c>
      <c r="C255" s="5" t="str">
        <f t="shared" si="1"/>
        <v>0 days 0 hours 0 minutes</v>
      </c>
      <c r="D255" s="6"/>
      <c r="E255" s="7"/>
      <c r="F255" s="7"/>
      <c r="G255" s="7"/>
      <c r="H255" s="8"/>
      <c r="I255" s="9"/>
      <c r="J255" s="9"/>
      <c r="K255" s="9"/>
      <c r="L255" s="9"/>
      <c r="M255" s="9"/>
      <c r="N255" s="10">
        <f t="shared" si="2"/>
        <v>0</v>
      </c>
      <c r="O255" s="10">
        <f t="shared" si="3"/>
        <v>0</v>
      </c>
    </row>
    <row r="256">
      <c r="A256" s="3" t="s">
        <v>36</v>
      </c>
      <c r="B256" s="4">
        <v>5.0</v>
      </c>
      <c r="C256" s="5" t="str">
        <f t="shared" si="1"/>
        <v>0 days 0 hours 0 minutes</v>
      </c>
      <c r="D256" s="6"/>
      <c r="E256" s="7"/>
      <c r="F256" s="7"/>
      <c r="G256" s="7"/>
      <c r="H256" s="8"/>
      <c r="I256" s="9"/>
      <c r="J256" s="9"/>
      <c r="K256" s="9"/>
      <c r="L256" s="9"/>
      <c r="M256" s="9"/>
      <c r="N256" s="10">
        <f t="shared" si="2"/>
        <v>0</v>
      </c>
      <c r="O256" s="10">
        <f t="shared" si="3"/>
        <v>0</v>
      </c>
    </row>
    <row r="257">
      <c r="A257" s="3" t="s">
        <v>36</v>
      </c>
      <c r="B257" s="4">
        <v>6.0</v>
      </c>
      <c r="C257" s="5" t="str">
        <f t="shared" si="1"/>
        <v>0 days 0 hours 0 minutes</v>
      </c>
      <c r="D257" s="6"/>
      <c r="E257" s="7"/>
      <c r="F257" s="7"/>
      <c r="G257" s="7"/>
      <c r="H257" s="8"/>
      <c r="I257" s="9"/>
      <c r="J257" s="9"/>
      <c r="K257" s="9"/>
      <c r="L257" s="9"/>
      <c r="M257" s="9"/>
      <c r="N257" s="10">
        <f t="shared" si="2"/>
        <v>0</v>
      </c>
      <c r="O257" s="10">
        <f t="shared" si="3"/>
        <v>0</v>
      </c>
    </row>
    <row r="258">
      <c r="A258" s="3" t="s">
        <v>36</v>
      </c>
      <c r="B258" s="4">
        <v>7.0</v>
      </c>
      <c r="C258" s="5" t="str">
        <f t="shared" si="1"/>
        <v>0 days 0 hours 0 minutes</v>
      </c>
      <c r="D258" s="6"/>
      <c r="E258" s="7"/>
      <c r="F258" s="7"/>
      <c r="G258" s="7"/>
      <c r="H258" s="8"/>
      <c r="I258" s="9"/>
      <c r="J258" s="9"/>
      <c r="K258" s="9"/>
      <c r="L258" s="9"/>
      <c r="M258" s="9"/>
      <c r="N258" s="10">
        <f t="shared" si="2"/>
        <v>0</v>
      </c>
      <c r="O258" s="10">
        <f t="shared" si="3"/>
        <v>0</v>
      </c>
    </row>
    <row r="259">
      <c r="A259" s="3" t="s">
        <v>36</v>
      </c>
      <c r="B259" s="4">
        <v>8.0</v>
      </c>
      <c r="C259" s="5" t="str">
        <f t="shared" si="1"/>
        <v>0 days 0 hours 0 minutes</v>
      </c>
      <c r="D259" s="6"/>
      <c r="E259" s="7"/>
      <c r="F259" s="7"/>
      <c r="G259" s="7"/>
      <c r="H259" s="8"/>
      <c r="I259" s="9"/>
      <c r="J259" s="9"/>
      <c r="K259" s="9"/>
      <c r="L259" s="9"/>
      <c r="M259" s="9"/>
      <c r="N259" s="10">
        <f t="shared" si="2"/>
        <v>0</v>
      </c>
      <c r="O259" s="10">
        <f t="shared" si="3"/>
        <v>0</v>
      </c>
    </row>
    <row r="260">
      <c r="A260" s="3" t="s">
        <v>36</v>
      </c>
      <c r="B260" s="4">
        <v>9.0</v>
      </c>
      <c r="C260" s="5" t="str">
        <f t="shared" si="1"/>
        <v>0 days 0 hours 0 minutes</v>
      </c>
      <c r="D260" s="6"/>
      <c r="E260" s="7"/>
      <c r="F260" s="7"/>
      <c r="G260" s="7"/>
      <c r="H260" s="8"/>
      <c r="I260" s="9"/>
      <c r="J260" s="9"/>
      <c r="K260" s="9"/>
      <c r="L260" s="9"/>
      <c r="M260" s="9"/>
      <c r="N260" s="10">
        <f t="shared" si="2"/>
        <v>0</v>
      </c>
      <c r="O260" s="10">
        <f t="shared" si="3"/>
        <v>0</v>
      </c>
    </row>
    <row r="261">
      <c r="A261" s="3" t="s">
        <v>36</v>
      </c>
      <c r="B261" s="4">
        <v>10.0</v>
      </c>
      <c r="C261" s="5" t="str">
        <f t="shared" si="1"/>
        <v>0 days 0 hours 0 minutes</v>
      </c>
      <c r="D261" s="6"/>
      <c r="E261" s="7"/>
      <c r="F261" s="7"/>
      <c r="G261" s="7"/>
      <c r="H261" s="8"/>
      <c r="I261" s="9"/>
      <c r="J261" s="9"/>
      <c r="K261" s="9"/>
      <c r="L261" s="9"/>
      <c r="M261" s="9"/>
      <c r="N261" s="10">
        <f t="shared" si="2"/>
        <v>0</v>
      </c>
      <c r="O261" s="10">
        <f t="shared" si="3"/>
        <v>0</v>
      </c>
    </row>
    <row r="262">
      <c r="A262" s="3" t="s">
        <v>36</v>
      </c>
      <c r="B262" s="4">
        <v>11.0</v>
      </c>
      <c r="C262" s="5" t="str">
        <f t="shared" si="1"/>
        <v>0 days 0 hours 0 minutes</v>
      </c>
      <c r="D262" s="6"/>
      <c r="E262" s="7"/>
      <c r="F262" s="7"/>
      <c r="G262" s="7"/>
      <c r="H262" s="8"/>
      <c r="I262" s="9"/>
      <c r="J262" s="9"/>
      <c r="K262" s="9"/>
      <c r="L262" s="9"/>
      <c r="M262" s="9"/>
      <c r="N262" s="10">
        <f t="shared" si="2"/>
        <v>0</v>
      </c>
      <c r="O262" s="10">
        <f t="shared" si="3"/>
        <v>0</v>
      </c>
    </row>
    <row r="263">
      <c r="A263" s="3" t="s">
        <v>36</v>
      </c>
      <c r="B263" s="4">
        <v>12.0</v>
      </c>
      <c r="C263" s="5" t="str">
        <f t="shared" si="1"/>
        <v>0 days 0 hours 0 minutes</v>
      </c>
      <c r="D263" s="6"/>
      <c r="E263" s="7"/>
      <c r="F263" s="7"/>
      <c r="G263" s="7"/>
      <c r="H263" s="8"/>
      <c r="I263" s="9"/>
      <c r="J263" s="9"/>
      <c r="K263" s="9"/>
      <c r="L263" s="9"/>
      <c r="M263" s="9"/>
      <c r="N263" s="10">
        <f t="shared" si="2"/>
        <v>0</v>
      </c>
      <c r="O263" s="10">
        <f t="shared" si="3"/>
        <v>0</v>
      </c>
    </row>
    <row r="264">
      <c r="A264" s="3" t="s">
        <v>36</v>
      </c>
      <c r="B264" s="4">
        <v>13.0</v>
      </c>
      <c r="C264" s="5" t="str">
        <f t="shared" si="1"/>
        <v>0 days 0 hours 0 minutes</v>
      </c>
      <c r="D264" s="6"/>
      <c r="E264" s="7"/>
      <c r="F264" s="7"/>
      <c r="G264" s="7"/>
      <c r="H264" s="8"/>
      <c r="I264" s="9"/>
      <c r="J264" s="9"/>
      <c r="K264" s="9"/>
      <c r="L264" s="9"/>
      <c r="M264" s="9"/>
      <c r="N264" s="10">
        <f t="shared" si="2"/>
        <v>0</v>
      </c>
      <c r="O264" s="10">
        <f t="shared" si="3"/>
        <v>0</v>
      </c>
    </row>
    <row r="265">
      <c r="A265" s="3" t="s">
        <v>36</v>
      </c>
      <c r="B265" s="4">
        <v>14.0</v>
      </c>
      <c r="C265" s="5" t="str">
        <f t="shared" si="1"/>
        <v>0 days 0 hours 0 minutes</v>
      </c>
      <c r="D265" s="6"/>
      <c r="E265" s="7"/>
      <c r="F265" s="7"/>
      <c r="G265" s="7"/>
      <c r="H265" s="8"/>
      <c r="I265" s="9"/>
      <c r="J265" s="9"/>
      <c r="K265" s="9"/>
      <c r="L265" s="9"/>
      <c r="M265" s="9"/>
      <c r="N265" s="10">
        <f t="shared" si="2"/>
        <v>0</v>
      </c>
      <c r="O265" s="10">
        <f t="shared" si="3"/>
        <v>0</v>
      </c>
    </row>
    <row r="266">
      <c r="A266" s="3" t="s">
        <v>36</v>
      </c>
      <c r="B266" s="4">
        <v>15.0</v>
      </c>
      <c r="C266" s="5" t="str">
        <f t="shared" si="1"/>
        <v>0 days 0 hours 0 minutes</v>
      </c>
      <c r="D266" s="6"/>
      <c r="E266" s="7"/>
      <c r="F266" s="7"/>
      <c r="G266" s="7"/>
      <c r="H266" s="8"/>
      <c r="I266" s="9"/>
      <c r="J266" s="9"/>
      <c r="K266" s="9"/>
      <c r="L266" s="9"/>
      <c r="M266" s="9"/>
      <c r="N266" s="10">
        <f t="shared" si="2"/>
        <v>0</v>
      </c>
      <c r="O266" s="10">
        <f t="shared" si="3"/>
        <v>0</v>
      </c>
    </row>
    <row r="267">
      <c r="A267" s="3" t="s">
        <v>36</v>
      </c>
      <c r="B267" s="4">
        <v>16.0</v>
      </c>
      <c r="C267" s="5" t="str">
        <f t="shared" si="1"/>
        <v>0 days 0 hours 0 minutes</v>
      </c>
      <c r="D267" s="6"/>
      <c r="E267" s="7"/>
      <c r="F267" s="7"/>
      <c r="G267" s="7"/>
      <c r="H267" s="8"/>
      <c r="I267" s="9"/>
      <c r="J267" s="9"/>
      <c r="K267" s="9"/>
      <c r="L267" s="9"/>
      <c r="M267" s="9"/>
      <c r="N267" s="10">
        <f t="shared" si="2"/>
        <v>0</v>
      </c>
      <c r="O267" s="10">
        <f t="shared" si="3"/>
        <v>0</v>
      </c>
    </row>
    <row r="268">
      <c r="A268" s="3" t="s">
        <v>36</v>
      </c>
      <c r="B268" s="4">
        <v>17.0</v>
      </c>
      <c r="C268" s="5" t="str">
        <f t="shared" si="1"/>
        <v>0 days 0 hours 0 minutes</v>
      </c>
      <c r="D268" s="6"/>
      <c r="E268" s="7"/>
      <c r="F268" s="7"/>
      <c r="G268" s="7"/>
      <c r="H268" s="8"/>
      <c r="I268" s="9"/>
      <c r="J268" s="9"/>
      <c r="K268" s="9"/>
      <c r="L268" s="9"/>
      <c r="M268" s="9"/>
      <c r="N268" s="10">
        <f t="shared" si="2"/>
        <v>0</v>
      </c>
      <c r="O268" s="10">
        <f t="shared" si="3"/>
        <v>0</v>
      </c>
    </row>
    <row r="269">
      <c r="A269" s="3" t="s">
        <v>36</v>
      </c>
      <c r="B269" s="4">
        <v>18.0</v>
      </c>
      <c r="C269" s="5" t="str">
        <f t="shared" si="1"/>
        <v>0 days 0 hours 0 minutes</v>
      </c>
      <c r="D269" s="6"/>
      <c r="E269" s="7"/>
      <c r="F269" s="7"/>
      <c r="G269" s="7"/>
      <c r="H269" s="8"/>
      <c r="I269" s="9"/>
      <c r="J269" s="9"/>
      <c r="K269" s="9"/>
      <c r="L269" s="9"/>
      <c r="M269" s="9"/>
      <c r="N269" s="10">
        <f t="shared" si="2"/>
        <v>0</v>
      </c>
      <c r="O269" s="10">
        <f t="shared" si="3"/>
        <v>0</v>
      </c>
    </row>
    <row r="270">
      <c r="A270" s="3" t="s">
        <v>36</v>
      </c>
      <c r="B270" s="4">
        <v>19.0</v>
      </c>
      <c r="C270" s="5" t="str">
        <f t="shared" si="1"/>
        <v>0 days 0 hours 0 minutes</v>
      </c>
      <c r="D270" s="6"/>
      <c r="E270" s="7"/>
      <c r="F270" s="7"/>
      <c r="G270" s="7"/>
      <c r="H270" s="8"/>
      <c r="I270" s="9"/>
      <c r="J270" s="9"/>
      <c r="K270" s="9"/>
      <c r="L270" s="9"/>
      <c r="M270" s="9"/>
      <c r="N270" s="10">
        <f t="shared" si="2"/>
        <v>0</v>
      </c>
      <c r="O270" s="10">
        <f t="shared" si="3"/>
        <v>0</v>
      </c>
    </row>
    <row r="271">
      <c r="A271" s="3" t="s">
        <v>36</v>
      </c>
      <c r="B271" s="4">
        <v>20.0</v>
      </c>
      <c r="C271" s="5" t="str">
        <f t="shared" si="1"/>
        <v>0 days 0 hours 0 minutes</v>
      </c>
      <c r="D271" s="6"/>
      <c r="E271" s="7"/>
      <c r="F271" s="7"/>
      <c r="G271" s="7"/>
      <c r="H271" s="8"/>
      <c r="I271" s="9"/>
      <c r="J271" s="9"/>
      <c r="K271" s="9"/>
      <c r="L271" s="9"/>
      <c r="M271" s="9"/>
      <c r="N271" s="10">
        <f t="shared" si="2"/>
        <v>0</v>
      </c>
      <c r="O271" s="10">
        <f t="shared" si="3"/>
        <v>0</v>
      </c>
    </row>
    <row r="272">
      <c r="A272" s="3" t="s">
        <v>36</v>
      </c>
      <c r="B272" s="4">
        <v>21.0</v>
      </c>
      <c r="C272" s="5" t="str">
        <f t="shared" si="1"/>
        <v>0 days 0 hours 0 minutes</v>
      </c>
      <c r="D272" s="6"/>
      <c r="E272" s="7"/>
      <c r="F272" s="7"/>
      <c r="G272" s="7"/>
      <c r="H272" s="8"/>
      <c r="I272" s="9"/>
      <c r="J272" s="9"/>
      <c r="K272" s="9"/>
      <c r="L272" s="9"/>
      <c r="M272" s="9"/>
      <c r="N272" s="10">
        <f t="shared" si="2"/>
        <v>0</v>
      </c>
      <c r="O272" s="10">
        <f t="shared" si="3"/>
        <v>0</v>
      </c>
    </row>
    <row r="273">
      <c r="A273" s="3" t="s">
        <v>36</v>
      </c>
      <c r="B273" s="4">
        <v>22.0</v>
      </c>
      <c r="C273" s="5" t="str">
        <f t="shared" si="1"/>
        <v>0 days 0 hours 0 minutes</v>
      </c>
      <c r="D273" s="6"/>
      <c r="E273" s="7"/>
      <c r="F273" s="7"/>
      <c r="G273" s="7"/>
      <c r="H273" s="8"/>
      <c r="I273" s="9"/>
      <c r="J273" s="9"/>
      <c r="K273" s="9"/>
      <c r="L273" s="9"/>
      <c r="M273" s="9"/>
      <c r="N273" s="10">
        <f t="shared" si="2"/>
        <v>0</v>
      </c>
      <c r="O273" s="10">
        <f t="shared" si="3"/>
        <v>0</v>
      </c>
    </row>
    <row r="274">
      <c r="A274" s="3" t="s">
        <v>36</v>
      </c>
      <c r="B274" s="4">
        <v>23.0</v>
      </c>
      <c r="C274" s="5" t="str">
        <f t="shared" si="1"/>
        <v>0 days 0 hours 0 minutes</v>
      </c>
      <c r="D274" s="12"/>
      <c r="E274" s="11"/>
      <c r="F274" s="11"/>
      <c r="G274" s="11"/>
      <c r="H274" s="13"/>
      <c r="I274" s="14"/>
      <c r="J274" s="14"/>
      <c r="K274" s="14"/>
      <c r="L274" s="14"/>
      <c r="M274" s="14"/>
      <c r="N274" s="10">
        <f t="shared" si="2"/>
        <v>0</v>
      </c>
      <c r="O274" s="10">
        <f t="shared" si="3"/>
        <v>0</v>
      </c>
    </row>
    <row r="275">
      <c r="A275" s="3" t="s">
        <v>36</v>
      </c>
      <c r="B275" s="4">
        <v>24.0</v>
      </c>
      <c r="C275" s="5" t="str">
        <f t="shared" si="1"/>
        <v>10 days 7 hours 54 minutes</v>
      </c>
      <c r="D275" s="12">
        <v>0.65</v>
      </c>
      <c r="E275" s="11">
        <v>6.0</v>
      </c>
      <c r="F275" s="11">
        <v>6.0</v>
      </c>
      <c r="G275" s="11">
        <v>14.0</v>
      </c>
      <c r="H275" s="13">
        <v>59.0</v>
      </c>
      <c r="I275" s="14">
        <v>1.28E7</v>
      </c>
      <c r="J275" s="14">
        <v>9100000.0</v>
      </c>
      <c r="K275" s="14">
        <v>6800000.0</v>
      </c>
      <c r="L275" s="14">
        <v>900000.0</v>
      </c>
      <c r="M275" s="9"/>
      <c r="N275" s="10">
        <f t="shared" si="2"/>
        <v>540899</v>
      </c>
      <c r="O275" s="10">
        <f t="shared" si="3"/>
        <v>892484</v>
      </c>
    </row>
    <row r="276">
      <c r="A276" s="3" t="s">
        <v>36</v>
      </c>
      <c r="B276" s="4">
        <v>25.0</v>
      </c>
      <c r="C276" s="5" t="str">
        <f t="shared" si="1"/>
        <v>0 days 0 hours 0 minutes</v>
      </c>
      <c r="D276" s="6"/>
      <c r="E276" s="7"/>
      <c r="F276" s="7"/>
      <c r="G276" s="7"/>
      <c r="H276" s="8"/>
      <c r="I276" s="9"/>
      <c r="J276" s="9"/>
      <c r="K276" s="9"/>
      <c r="L276" s="9"/>
      <c r="M276" s="9"/>
      <c r="N276" s="10">
        <f t="shared" si="2"/>
        <v>0</v>
      </c>
      <c r="O276" s="10">
        <f t="shared" si="3"/>
        <v>0</v>
      </c>
    </row>
    <row r="277">
      <c r="A277" s="18" t="s">
        <v>37</v>
      </c>
      <c r="B277" s="19">
        <v>1.0</v>
      </c>
      <c r="C277" s="20" t="str">
        <f t="shared" si="1"/>
        <v>0 days 0 hours 0 minutes</v>
      </c>
      <c r="D277" s="21"/>
      <c r="E277" s="22"/>
      <c r="F277" s="22"/>
      <c r="G277" s="22"/>
      <c r="H277" s="23"/>
      <c r="I277" s="24"/>
      <c r="J277" s="24"/>
      <c r="K277" s="24"/>
      <c r="L277" s="24"/>
      <c r="M277" s="24"/>
      <c r="N277" s="25">
        <f t="shared" si="2"/>
        <v>0</v>
      </c>
      <c r="O277" s="25">
        <f t="shared" si="3"/>
        <v>0</v>
      </c>
    </row>
    <row r="278">
      <c r="A278" s="3" t="s">
        <v>37</v>
      </c>
      <c r="B278" s="4">
        <v>2.0</v>
      </c>
      <c r="C278" s="5" t="str">
        <f t="shared" si="1"/>
        <v>0 days 0 hours 0 minutes</v>
      </c>
      <c r="D278" s="6"/>
      <c r="E278" s="7"/>
      <c r="F278" s="7"/>
      <c r="G278" s="7"/>
      <c r="H278" s="8"/>
      <c r="I278" s="9"/>
      <c r="J278" s="9"/>
      <c r="K278" s="9"/>
      <c r="L278" s="9"/>
      <c r="M278" s="9"/>
      <c r="N278" s="10">
        <f t="shared" si="2"/>
        <v>0</v>
      </c>
      <c r="O278" s="10">
        <f t="shared" si="3"/>
        <v>0</v>
      </c>
    </row>
    <row r="279">
      <c r="A279" s="3" t="s">
        <v>37</v>
      </c>
      <c r="B279" s="4">
        <v>3.0</v>
      </c>
      <c r="C279" s="5" t="str">
        <f t="shared" si="1"/>
        <v>0 days 0 hours 0 minutes</v>
      </c>
      <c r="D279" s="6"/>
      <c r="E279" s="7"/>
      <c r="F279" s="7"/>
      <c r="G279" s="7"/>
      <c r="H279" s="8"/>
      <c r="I279" s="9"/>
      <c r="J279" s="9"/>
      <c r="K279" s="9"/>
      <c r="L279" s="9"/>
      <c r="M279" s="9"/>
      <c r="N279" s="10">
        <f t="shared" si="2"/>
        <v>0</v>
      </c>
      <c r="O279" s="10">
        <f t="shared" si="3"/>
        <v>0</v>
      </c>
    </row>
    <row r="280">
      <c r="A280" s="3" t="s">
        <v>37</v>
      </c>
      <c r="B280" s="4">
        <v>4.0</v>
      </c>
      <c r="C280" s="5" t="str">
        <f t="shared" si="1"/>
        <v>0 days 0 hours 0 minutes</v>
      </c>
      <c r="D280" s="6"/>
      <c r="E280" s="7"/>
      <c r="F280" s="7"/>
      <c r="G280" s="7"/>
      <c r="H280" s="8"/>
      <c r="I280" s="9"/>
      <c r="J280" s="9"/>
      <c r="K280" s="9"/>
      <c r="L280" s="9"/>
      <c r="M280" s="9"/>
      <c r="N280" s="10">
        <f t="shared" si="2"/>
        <v>0</v>
      </c>
      <c r="O280" s="10">
        <f t="shared" si="3"/>
        <v>0</v>
      </c>
    </row>
    <row r="281">
      <c r="A281" s="3" t="s">
        <v>37</v>
      </c>
      <c r="B281" s="4">
        <v>5.0</v>
      </c>
      <c r="C281" s="5" t="str">
        <f t="shared" si="1"/>
        <v>0 days 0 hours 0 minutes</v>
      </c>
      <c r="D281" s="6"/>
      <c r="E281" s="7"/>
      <c r="F281" s="7"/>
      <c r="G281" s="7"/>
      <c r="H281" s="8"/>
      <c r="I281" s="9"/>
      <c r="J281" s="9"/>
      <c r="K281" s="9"/>
      <c r="L281" s="9"/>
      <c r="M281" s="9"/>
      <c r="N281" s="10">
        <f t="shared" si="2"/>
        <v>0</v>
      </c>
      <c r="O281" s="10">
        <f t="shared" si="3"/>
        <v>0</v>
      </c>
    </row>
    <row r="282">
      <c r="A282" s="3" t="s">
        <v>37</v>
      </c>
      <c r="B282" s="4">
        <v>6.0</v>
      </c>
      <c r="C282" s="5" t="str">
        <f t="shared" si="1"/>
        <v>0 days 0 hours 0 minutes</v>
      </c>
      <c r="D282" s="6"/>
      <c r="E282" s="7"/>
      <c r="F282" s="7"/>
      <c r="G282" s="7"/>
      <c r="H282" s="8"/>
      <c r="I282" s="9"/>
      <c r="J282" s="9"/>
      <c r="K282" s="9"/>
      <c r="L282" s="9"/>
      <c r="M282" s="9"/>
      <c r="N282" s="10">
        <f t="shared" si="2"/>
        <v>0</v>
      </c>
      <c r="O282" s="10">
        <f t="shared" si="3"/>
        <v>0</v>
      </c>
    </row>
    <row r="283">
      <c r="A283" s="3" t="s">
        <v>37</v>
      </c>
      <c r="B283" s="4">
        <v>7.0</v>
      </c>
      <c r="C283" s="5" t="str">
        <f t="shared" si="1"/>
        <v>0 days 0 hours 0 minutes</v>
      </c>
      <c r="D283" s="6"/>
      <c r="E283" s="7"/>
      <c r="F283" s="7"/>
      <c r="G283" s="7"/>
      <c r="H283" s="8"/>
      <c r="I283" s="9"/>
      <c r="J283" s="9"/>
      <c r="K283" s="9"/>
      <c r="L283" s="9"/>
      <c r="M283" s="9"/>
      <c r="N283" s="10">
        <f t="shared" si="2"/>
        <v>0</v>
      </c>
      <c r="O283" s="10">
        <f t="shared" si="3"/>
        <v>0</v>
      </c>
    </row>
    <row r="284">
      <c r="A284" s="3" t="s">
        <v>37</v>
      </c>
      <c r="B284" s="4">
        <v>8.0</v>
      </c>
      <c r="C284" s="5" t="str">
        <f t="shared" si="1"/>
        <v>0 days 0 hours 0 minutes</v>
      </c>
      <c r="D284" s="6"/>
      <c r="E284" s="7"/>
      <c r="F284" s="7"/>
      <c r="G284" s="7"/>
      <c r="H284" s="8"/>
      <c r="I284" s="9"/>
      <c r="J284" s="9"/>
      <c r="K284" s="9"/>
      <c r="L284" s="9"/>
      <c r="M284" s="9"/>
      <c r="N284" s="10">
        <f t="shared" si="2"/>
        <v>0</v>
      </c>
      <c r="O284" s="10">
        <f t="shared" si="3"/>
        <v>0</v>
      </c>
    </row>
    <row r="285">
      <c r="A285" s="3" t="s">
        <v>37</v>
      </c>
      <c r="B285" s="4">
        <v>9.0</v>
      </c>
      <c r="C285" s="5" t="str">
        <f t="shared" si="1"/>
        <v>0 days 0 hours 0 minutes</v>
      </c>
      <c r="D285" s="6"/>
      <c r="E285" s="7"/>
      <c r="F285" s="7"/>
      <c r="G285" s="7"/>
      <c r="H285" s="8"/>
      <c r="I285" s="9"/>
      <c r="J285" s="9"/>
      <c r="K285" s="9"/>
      <c r="L285" s="9"/>
      <c r="M285" s="9"/>
      <c r="N285" s="10">
        <f t="shared" si="2"/>
        <v>0</v>
      </c>
      <c r="O285" s="10">
        <f t="shared" si="3"/>
        <v>0</v>
      </c>
    </row>
    <row r="286">
      <c r="A286" s="3" t="s">
        <v>37</v>
      </c>
      <c r="B286" s="4">
        <v>10.0</v>
      </c>
      <c r="C286" s="5" t="str">
        <f t="shared" si="1"/>
        <v>0 days 0 hours 0 minutes</v>
      </c>
      <c r="D286" s="6"/>
      <c r="E286" s="7"/>
      <c r="F286" s="7"/>
      <c r="G286" s="7"/>
      <c r="H286" s="8"/>
      <c r="I286" s="9"/>
      <c r="J286" s="9"/>
      <c r="K286" s="9"/>
      <c r="L286" s="9"/>
      <c r="M286" s="9"/>
      <c r="N286" s="10">
        <f t="shared" si="2"/>
        <v>0</v>
      </c>
      <c r="O286" s="10">
        <f t="shared" si="3"/>
        <v>0</v>
      </c>
    </row>
    <row r="287">
      <c r="A287" s="3" t="s">
        <v>37</v>
      </c>
      <c r="B287" s="4">
        <v>11.0</v>
      </c>
      <c r="C287" s="5" t="str">
        <f t="shared" si="1"/>
        <v>0 days 0 hours 0 minutes</v>
      </c>
      <c r="D287" s="6"/>
      <c r="E287" s="7"/>
      <c r="F287" s="7"/>
      <c r="G287" s="7"/>
      <c r="H287" s="8"/>
      <c r="I287" s="9"/>
      <c r="J287" s="9"/>
      <c r="K287" s="9"/>
      <c r="L287" s="9"/>
      <c r="M287" s="9"/>
      <c r="N287" s="10">
        <f t="shared" si="2"/>
        <v>0</v>
      </c>
      <c r="O287" s="10">
        <f t="shared" si="3"/>
        <v>0</v>
      </c>
    </row>
    <row r="288">
      <c r="A288" s="3" t="s">
        <v>37</v>
      </c>
      <c r="B288" s="4">
        <v>12.0</v>
      </c>
      <c r="C288" s="5" t="str">
        <f t="shared" si="1"/>
        <v>0 days 0 hours 0 minutes</v>
      </c>
      <c r="D288" s="6"/>
      <c r="E288" s="7"/>
      <c r="F288" s="7"/>
      <c r="G288" s="7"/>
      <c r="H288" s="8"/>
      <c r="I288" s="9"/>
      <c r="J288" s="9"/>
      <c r="K288" s="9"/>
      <c r="L288" s="9"/>
      <c r="M288" s="9"/>
      <c r="N288" s="10">
        <f t="shared" si="2"/>
        <v>0</v>
      </c>
      <c r="O288" s="10">
        <f t="shared" si="3"/>
        <v>0</v>
      </c>
    </row>
    <row r="289">
      <c r="A289" s="3" t="s">
        <v>37</v>
      </c>
      <c r="B289" s="4">
        <v>13.0</v>
      </c>
      <c r="C289" s="5" t="str">
        <f t="shared" si="1"/>
        <v>0 days 0 hours 0 minutes</v>
      </c>
      <c r="D289" s="6"/>
      <c r="E289" s="7"/>
      <c r="F289" s="7"/>
      <c r="G289" s="7"/>
      <c r="H289" s="8"/>
      <c r="I289" s="9"/>
      <c r="J289" s="9"/>
      <c r="K289" s="9"/>
      <c r="L289" s="9"/>
      <c r="M289" s="9"/>
      <c r="N289" s="10">
        <f t="shared" si="2"/>
        <v>0</v>
      </c>
      <c r="O289" s="10">
        <f t="shared" si="3"/>
        <v>0</v>
      </c>
    </row>
    <row r="290">
      <c r="A290" s="3" t="s">
        <v>37</v>
      </c>
      <c r="B290" s="4">
        <v>14.0</v>
      </c>
      <c r="C290" s="5" t="str">
        <f t="shared" si="1"/>
        <v>0 days 0 hours 0 minutes</v>
      </c>
      <c r="D290" s="6"/>
      <c r="E290" s="7"/>
      <c r="F290" s="7"/>
      <c r="G290" s="7"/>
      <c r="H290" s="8"/>
      <c r="I290" s="9"/>
      <c r="J290" s="9"/>
      <c r="K290" s="9"/>
      <c r="L290" s="9"/>
      <c r="M290" s="9"/>
      <c r="N290" s="10">
        <f t="shared" si="2"/>
        <v>0</v>
      </c>
      <c r="O290" s="10">
        <f t="shared" si="3"/>
        <v>0</v>
      </c>
    </row>
    <row r="291">
      <c r="A291" s="3" t="s">
        <v>37</v>
      </c>
      <c r="B291" s="4">
        <v>15.0</v>
      </c>
      <c r="C291" s="5" t="str">
        <f t="shared" si="1"/>
        <v>0 days 0 hours 0 minutes</v>
      </c>
      <c r="D291" s="6"/>
      <c r="E291" s="7"/>
      <c r="F291" s="7"/>
      <c r="G291" s="7"/>
      <c r="H291" s="8"/>
      <c r="I291" s="9"/>
      <c r="J291" s="9"/>
      <c r="K291" s="9"/>
      <c r="L291" s="9"/>
      <c r="M291" s="9"/>
      <c r="N291" s="10">
        <f t="shared" si="2"/>
        <v>0</v>
      </c>
      <c r="O291" s="10">
        <f t="shared" si="3"/>
        <v>0</v>
      </c>
    </row>
    <row r="292">
      <c r="A292" s="3" t="s">
        <v>37</v>
      </c>
      <c r="B292" s="4">
        <v>16.0</v>
      </c>
      <c r="C292" s="5" t="str">
        <f t="shared" si="1"/>
        <v>0 days 0 hours 0 minutes</v>
      </c>
      <c r="D292" s="6"/>
      <c r="E292" s="7"/>
      <c r="F292" s="7"/>
      <c r="G292" s="7"/>
      <c r="H292" s="8"/>
      <c r="I292" s="9"/>
      <c r="J292" s="9"/>
      <c r="K292" s="9"/>
      <c r="L292" s="9"/>
      <c r="M292" s="9"/>
      <c r="N292" s="10">
        <f t="shared" si="2"/>
        <v>0</v>
      </c>
      <c r="O292" s="10">
        <f t="shared" si="3"/>
        <v>0</v>
      </c>
    </row>
    <row r="293">
      <c r="A293" s="3" t="s">
        <v>37</v>
      </c>
      <c r="B293" s="4">
        <v>17.0</v>
      </c>
      <c r="C293" s="5" t="str">
        <f t="shared" si="1"/>
        <v>0 days 0 hours 0 minutes</v>
      </c>
      <c r="D293" s="6"/>
      <c r="E293" s="7"/>
      <c r="F293" s="7"/>
      <c r="G293" s="7"/>
      <c r="H293" s="8"/>
      <c r="I293" s="9"/>
      <c r="J293" s="9"/>
      <c r="K293" s="9"/>
      <c r="L293" s="9"/>
      <c r="M293" s="9"/>
      <c r="N293" s="10">
        <f t="shared" si="2"/>
        <v>0</v>
      </c>
      <c r="O293" s="10">
        <f t="shared" si="3"/>
        <v>0</v>
      </c>
    </row>
    <row r="294">
      <c r="A294" s="3" t="s">
        <v>37</v>
      </c>
      <c r="B294" s="4">
        <v>18.0</v>
      </c>
      <c r="C294" s="5" t="str">
        <f t="shared" si="1"/>
        <v>0 days 0 hours 0 minutes</v>
      </c>
      <c r="D294" s="6"/>
      <c r="E294" s="7"/>
      <c r="F294" s="7"/>
      <c r="G294" s="7"/>
      <c r="H294" s="8"/>
      <c r="I294" s="9"/>
      <c r="J294" s="9"/>
      <c r="K294" s="9"/>
      <c r="L294" s="9"/>
      <c r="M294" s="9"/>
      <c r="N294" s="10">
        <f t="shared" si="2"/>
        <v>0</v>
      </c>
      <c r="O294" s="10">
        <f t="shared" si="3"/>
        <v>0</v>
      </c>
    </row>
    <row r="295">
      <c r="A295" s="3" t="s">
        <v>37</v>
      </c>
      <c r="B295" s="4">
        <v>19.0</v>
      </c>
      <c r="C295" s="5" t="str">
        <f t="shared" si="1"/>
        <v>0 days 0 hours 0 minutes</v>
      </c>
      <c r="D295" s="6"/>
      <c r="E295" s="7"/>
      <c r="F295" s="7"/>
      <c r="G295" s="7"/>
      <c r="H295" s="8"/>
      <c r="I295" s="9"/>
      <c r="J295" s="9"/>
      <c r="K295" s="9"/>
      <c r="L295" s="9"/>
      <c r="M295" s="9"/>
      <c r="N295" s="10">
        <f t="shared" si="2"/>
        <v>0</v>
      </c>
      <c r="O295" s="10">
        <f t="shared" si="3"/>
        <v>0</v>
      </c>
    </row>
    <row r="296">
      <c r="A296" s="3" t="s">
        <v>37</v>
      </c>
      <c r="B296" s="4">
        <v>20.0</v>
      </c>
      <c r="C296" s="5" t="str">
        <f t="shared" si="1"/>
        <v>0 days 0 hours 0 minutes</v>
      </c>
      <c r="D296" s="6"/>
      <c r="E296" s="7"/>
      <c r="F296" s="7"/>
      <c r="G296" s="7"/>
      <c r="H296" s="8"/>
      <c r="I296" s="9"/>
      <c r="J296" s="9"/>
      <c r="K296" s="9"/>
      <c r="L296" s="9"/>
      <c r="M296" s="9"/>
      <c r="N296" s="10">
        <f t="shared" si="2"/>
        <v>0</v>
      </c>
      <c r="O296" s="10">
        <f t="shared" si="3"/>
        <v>0</v>
      </c>
    </row>
    <row r="297">
      <c r="A297" s="3" t="s">
        <v>37</v>
      </c>
      <c r="B297" s="4">
        <v>21.0</v>
      </c>
      <c r="C297" s="5" t="str">
        <f t="shared" si="1"/>
        <v>0 days 0 hours 0 minutes</v>
      </c>
      <c r="D297" s="6"/>
      <c r="E297" s="7"/>
      <c r="F297" s="7"/>
      <c r="G297" s="7"/>
      <c r="H297" s="8"/>
      <c r="I297" s="9"/>
      <c r="J297" s="9"/>
      <c r="K297" s="9"/>
      <c r="L297" s="9"/>
      <c r="M297" s="9"/>
      <c r="N297" s="10">
        <f t="shared" si="2"/>
        <v>0</v>
      </c>
      <c r="O297" s="10">
        <f t="shared" si="3"/>
        <v>0</v>
      </c>
    </row>
    <row r="298">
      <c r="A298" s="3" t="s">
        <v>37</v>
      </c>
      <c r="B298" s="4">
        <v>22.0</v>
      </c>
      <c r="C298" s="5" t="str">
        <f t="shared" si="1"/>
        <v>0 days 0 hours 0 minutes</v>
      </c>
      <c r="D298" s="6"/>
      <c r="E298" s="7"/>
      <c r="F298" s="7"/>
      <c r="G298" s="7"/>
      <c r="H298" s="8"/>
      <c r="I298" s="9"/>
      <c r="J298" s="9"/>
      <c r="K298" s="9"/>
      <c r="L298" s="9"/>
      <c r="M298" s="9"/>
      <c r="N298" s="10">
        <f t="shared" si="2"/>
        <v>0</v>
      </c>
      <c r="O298" s="10">
        <f t="shared" si="3"/>
        <v>0</v>
      </c>
    </row>
    <row r="299">
      <c r="A299" s="3" t="s">
        <v>37</v>
      </c>
      <c r="B299" s="4">
        <v>23.0</v>
      </c>
      <c r="C299" s="5" t="str">
        <f t="shared" si="1"/>
        <v>0 days 0 hours 0 minutes</v>
      </c>
      <c r="D299" s="12"/>
      <c r="E299" s="11"/>
      <c r="F299" s="11"/>
      <c r="G299" s="11"/>
      <c r="H299" s="13"/>
      <c r="I299" s="14"/>
      <c r="J299" s="14"/>
      <c r="K299" s="14"/>
      <c r="L299" s="14"/>
      <c r="M299" s="14"/>
      <c r="N299" s="10">
        <f t="shared" si="2"/>
        <v>0</v>
      </c>
      <c r="O299" s="10">
        <f t="shared" si="3"/>
        <v>0</v>
      </c>
    </row>
    <row r="300">
      <c r="A300" s="3" t="s">
        <v>37</v>
      </c>
      <c r="B300" s="4">
        <v>24.0</v>
      </c>
      <c r="C300" s="5" t="str">
        <f t="shared" si="1"/>
        <v>0 days 0 hours 0 minutes</v>
      </c>
      <c r="D300" s="12"/>
      <c r="E300" s="7"/>
      <c r="F300" s="7"/>
      <c r="G300" s="7"/>
      <c r="H300" s="8"/>
      <c r="I300" s="14">
        <v>1.62E7</v>
      </c>
      <c r="J300" s="26" t="s">
        <v>38</v>
      </c>
      <c r="K300" s="26" t="s">
        <v>39</v>
      </c>
      <c r="L300" s="26" t="s">
        <v>40</v>
      </c>
      <c r="M300" s="9"/>
      <c r="N300" s="10">
        <f t="shared" si="2"/>
        <v>0</v>
      </c>
      <c r="O300" s="10">
        <f t="shared" si="3"/>
        <v>0</v>
      </c>
    </row>
    <row r="301">
      <c r="A301" s="3" t="s">
        <v>37</v>
      </c>
      <c r="B301" s="4">
        <v>25.0</v>
      </c>
      <c r="C301" s="5" t="str">
        <f t="shared" si="1"/>
        <v>0 days 0 hours 0 minutes</v>
      </c>
      <c r="D301" s="6"/>
      <c r="E301" s="7"/>
      <c r="F301" s="7"/>
      <c r="G301" s="7"/>
      <c r="H301" s="8"/>
      <c r="I301" s="9"/>
      <c r="J301" s="9"/>
      <c r="K301" s="9"/>
      <c r="L301" s="9"/>
      <c r="M301" s="9"/>
      <c r="N301" s="10">
        <f t="shared" si="2"/>
        <v>0</v>
      </c>
      <c r="O301" s="10">
        <f t="shared" si="3"/>
        <v>0</v>
      </c>
    </row>
    <row r="302">
      <c r="A302" s="18" t="s">
        <v>41</v>
      </c>
      <c r="B302" s="19">
        <v>1.0</v>
      </c>
      <c r="C302" s="20" t="str">
        <f t="shared" si="1"/>
        <v>0 days 0 hours 0 minutes</v>
      </c>
      <c r="D302" s="21"/>
      <c r="E302" s="22"/>
      <c r="F302" s="22"/>
      <c r="G302" s="22"/>
      <c r="H302" s="23"/>
      <c r="I302" s="24"/>
      <c r="J302" s="24"/>
      <c r="K302" s="24"/>
      <c r="L302" s="24"/>
      <c r="M302" s="24"/>
      <c r="N302" s="25">
        <f t="shared" si="2"/>
        <v>0</v>
      </c>
      <c r="O302" s="25">
        <f t="shared" si="3"/>
        <v>0</v>
      </c>
    </row>
    <row r="303">
      <c r="A303" s="3" t="s">
        <v>41</v>
      </c>
      <c r="B303" s="4">
        <v>2.0</v>
      </c>
      <c r="C303" s="5" t="str">
        <f t="shared" si="1"/>
        <v>0 days 0 hours 0 minutes</v>
      </c>
      <c r="D303" s="6"/>
      <c r="E303" s="7"/>
      <c r="F303" s="7"/>
      <c r="G303" s="7"/>
      <c r="H303" s="8"/>
      <c r="I303" s="9"/>
      <c r="J303" s="9"/>
      <c r="K303" s="9"/>
      <c r="L303" s="9"/>
      <c r="M303" s="9"/>
      <c r="N303" s="10">
        <f t="shared" si="2"/>
        <v>0</v>
      </c>
      <c r="O303" s="10">
        <f t="shared" si="3"/>
        <v>0</v>
      </c>
    </row>
    <row r="304">
      <c r="A304" s="3" t="s">
        <v>41</v>
      </c>
      <c r="B304" s="4">
        <v>3.0</v>
      </c>
      <c r="C304" s="5" t="str">
        <f t="shared" si="1"/>
        <v>0 days 0 hours 0 minutes</v>
      </c>
      <c r="D304" s="6"/>
      <c r="E304" s="7"/>
      <c r="F304" s="7"/>
      <c r="G304" s="7"/>
      <c r="H304" s="8"/>
      <c r="I304" s="9"/>
      <c r="J304" s="9"/>
      <c r="K304" s="9"/>
      <c r="L304" s="9"/>
      <c r="M304" s="9"/>
      <c r="N304" s="10">
        <f t="shared" si="2"/>
        <v>0</v>
      </c>
      <c r="O304" s="10">
        <f t="shared" si="3"/>
        <v>0</v>
      </c>
    </row>
    <row r="305">
      <c r="A305" s="3" t="s">
        <v>41</v>
      </c>
      <c r="B305" s="4">
        <v>4.0</v>
      </c>
      <c r="C305" s="5" t="str">
        <f t="shared" si="1"/>
        <v>0 days 0 hours 0 minutes</v>
      </c>
      <c r="D305" s="6"/>
      <c r="E305" s="7"/>
      <c r="F305" s="7"/>
      <c r="G305" s="7"/>
      <c r="H305" s="8"/>
      <c r="I305" s="9"/>
      <c r="J305" s="9"/>
      <c r="K305" s="9"/>
      <c r="L305" s="9"/>
      <c r="M305" s="9"/>
      <c r="N305" s="10">
        <f t="shared" si="2"/>
        <v>0</v>
      </c>
      <c r="O305" s="10">
        <f t="shared" si="3"/>
        <v>0</v>
      </c>
    </row>
    <row r="306">
      <c r="A306" s="3" t="s">
        <v>41</v>
      </c>
      <c r="B306" s="4">
        <v>5.0</v>
      </c>
      <c r="C306" s="5" t="str">
        <f t="shared" si="1"/>
        <v>0 days 0 hours 0 minutes</v>
      </c>
      <c r="D306" s="6"/>
      <c r="E306" s="7"/>
      <c r="F306" s="7"/>
      <c r="G306" s="7"/>
      <c r="H306" s="8"/>
      <c r="I306" s="9"/>
      <c r="J306" s="9"/>
      <c r="K306" s="9"/>
      <c r="L306" s="9"/>
      <c r="M306" s="9"/>
      <c r="N306" s="10">
        <f t="shared" si="2"/>
        <v>0</v>
      </c>
      <c r="O306" s="10">
        <f t="shared" si="3"/>
        <v>0</v>
      </c>
    </row>
    <row r="307">
      <c r="A307" s="3" t="s">
        <v>41</v>
      </c>
      <c r="B307" s="4">
        <v>6.0</v>
      </c>
      <c r="C307" s="5" t="str">
        <f t="shared" si="1"/>
        <v>0 days 0 hours 0 minutes</v>
      </c>
      <c r="D307" s="6"/>
      <c r="E307" s="7"/>
      <c r="F307" s="7"/>
      <c r="G307" s="7"/>
      <c r="H307" s="8"/>
      <c r="I307" s="9"/>
      <c r="J307" s="9"/>
      <c r="K307" s="9"/>
      <c r="L307" s="9"/>
      <c r="M307" s="9"/>
      <c r="N307" s="10">
        <f t="shared" si="2"/>
        <v>0</v>
      </c>
      <c r="O307" s="10">
        <f t="shared" si="3"/>
        <v>0</v>
      </c>
    </row>
    <row r="308">
      <c r="A308" s="3" t="s">
        <v>41</v>
      </c>
      <c r="B308" s="4">
        <v>7.0</v>
      </c>
      <c r="C308" s="5" t="str">
        <f t="shared" si="1"/>
        <v>0 days 0 hours 0 minutes</v>
      </c>
      <c r="D308" s="6"/>
      <c r="E308" s="7"/>
      <c r="F308" s="7"/>
      <c r="G308" s="7"/>
      <c r="H308" s="8"/>
      <c r="I308" s="9"/>
      <c r="J308" s="9"/>
      <c r="K308" s="9"/>
      <c r="L308" s="9"/>
      <c r="M308" s="9"/>
      <c r="N308" s="10">
        <f t="shared" si="2"/>
        <v>0</v>
      </c>
      <c r="O308" s="10">
        <f t="shared" si="3"/>
        <v>0</v>
      </c>
    </row>
    <row r="309">
      <c r="A309" s="3" t="s">
        <v>41</v>
      </c>
      <c r="B309" s="4">
        <v>8.0</v>
      </c>
      <c r="C309" s="5" t="str">
        <f t="shared" si="1"/>
        <v>0 days 0 hours 0 minutes</v>
      </c>
      <c r="D309" s="6"/>
      <c r="E309" s="7"/>
      <c r="F309" s="7"/>
      <c r="G309" s="7"/>
      <c r="H309" s="8"/>
      <c r="I309" s="9"/>
      <c r="J309" s="9"/>
      <c r="K309" s="9"/>
      <c r="L309" s="9"/>
      <c r="M309" s="9"/>
      <c r="N309" s="10">
        <f t="shared" si="2"/>
        <v>0</v>
      </c>
      <c r="O309" s="10">
        <f t="shared" si="3"/>
        <v>0</v>
      </c>
    </row>
    <row r="310">
      <c r="A310" s="3" t="s">
        <v>41</v>
      </c>
      <c r="B310" s="4">
        <v>9.0</v>
      </c>
      <c r="C310" s="5" t="str">
        <f t="shared" si="1"/>
        <v>0 days 0 hours 0 minutes</v>
      </c>
      <c r="D310" s="6"/>
      <c r="E310" s="7"/>
      <c r="F310" s="7"/>
      <c r="G310" s="7"/>
      <c r="H310" s="8"/>
      <c r="I310" s="9"/>
      <c r="J310" s="9"/>
      <c r="K310" s="9"/>
      <c r="L310" s="9"/>
      <c r="M310" s="9"/>
      <c r="N310" s="10">
        <f t="shared" si="2"/>
        <v>0</v>
      </c>
      <c r="O310" s="10">
        <f t="shared" si="3"/>
        <v>0</v>
      </c>
    </row>
    <row r="311">
      <c r="A311" s="3" t="s">
        <v>41</v>
      </c>
      <c r="B311" s="4">
        <v>10.0</v>
      </c>
      <c r="C311" s="5" t="str">
        <f t="shared" si="1"/>
        <v>0 days 0 hours 0 minutes</v>
      </c>
      <c r="D311" s="6"/>
      <c r="E311" s="7"/>
      <c r="F311" s="7"/>
      <c r="G311" s="7"/>
      <c r="H311" s="8"/>
      <c r="I311" s="9"/>
      <c r="J311" s="9"/>
      <c r="K311" s="9"/>
      <c r="L311" s="9"/>
      <c r="M311" s="9"/>
      <c r="N311" s="10">
        <f t="shared" si="2"/>
        <v>0</v>
      </c>
      <c r="O311" s="10">
        <f t="shared" si="3"/>
        <v>0</v>
      </c>
    </row>
    <row r="312">
      <c r="A312" s="3" t="s">
        <v>41</v>
      </c>
      <c r="B312" s="4">
        <v>11.0</v>
      </c>
      <c r="C312" s="5" t="str">
        <f t="shared" si="1"/>
        <v>0 days 0 hours 0 minutes</v>
      </c>
      <c r="D312" s="6"/>
      <c r="E312" s="7"/>
      <c r="F312" s="7"/>
      <c r="G312" s="7"/>
      <c r="H312" s="8"/>
      <c r="I312" s="9"/>
      <c r="J312" s="9"/>
      <c r="K312" s="9"/>
      <c r="L312" s="9"/>
      <c r="M312" s="9"/>
      <c r="N312" s="10">
        <f t="shared" si="2"/>
        <v>0</v>
      </c>
      <c r="O312" s="10">
        <f t="shared" si="3"/>
        <v>0</v>
      </c>
    </row>
    <row r="313">
      <c r="A313" s="3" t="s">
        <v>41</v>
      </c>
      <c r="B313" s="4">
        <v>12.0</v>
      </c>
      <c r="C313" s="5" t="str">
        <f t="shared" si="1"/>
        <v>0 days 0 hours 0 minutes</v>
      </c>
      <c r="D313" s="6"/>
      <c r="E313" s="7"/>
      <c r="F313" s="7"/>
      <c r="G313" s="7"/>
      <c r="H313" s="8"/>
      <c r="I313" s="9"/>
      <c r="J313" s="9"/>
      <c r="K313" s="9"/>
      <c r="L313" s="9"/>
      <c r="M313" s="9"/>
      <c r="N313" s="10">
        <f t="shared" si="2"/>
        <v>0</v>
      </c>
      <c r="O313" s="10">
        <f t="shared" si="3"/>
        <v>0</v>
      </c>
    </row>
    <row r="314">
      <c r="A314" s="3" t="s">
        <v>41</v>
      </c>
      <c r="B314" s="4">
        <v>13.0</v>
      </c>
      <c r="C314" s="5" t="str">
        <f t="shared" si="1"/>
        <v>0 days 0 hours 0 minutes</v>
      </c>
      <c r="D314" s="6"/>
      <c r="E314" s="7"/>
      <c r="F314" s="7"/>
      <c r="G314" s="7"/>
      <c r="H314" s="8"/>
      <c r="I314" s="9"/>
      <c r="J314" s="9"/>
      <c r="K314" s="9"/>
      <c r="L314" s="9"/>
      <c r="M314" s="9"/>
      <c r="N314" s="10">
        <f t="shared" si="2"/>
        <v>0</v>
      </c>
      <c r="O314" s="10">
        <f t="shared" si="3"/>
        <v>0</v>
      </c>
    </row>
    <row r="315">
      <c r="A315" s="3" t="s">
        <v>41</v>
      </c>
      <c r="B315" s="4">
        <v>14.0</v>
      </c>
      <c r="C315" s="5" t="str">
        <f t="shared" si="1"/>
        <v>0 days 0 hours 0 minutes</v>
      </c>
      <c r="D315" s="6"/>
      <c r="E315" s="7"/>
      <c r="F315" s="7"/>
      <c r="G315" s="7"/>
      <c r="H315" s="8"/>
      <c r="I315" s="9"/>
      <c r="J315" s="9"/>
      <c r="K315" s="9"/>
      <c r="L315" s="9"/>
      <c r="M315" s="9"/>
      <c r="N315" s="10">
        <f t="shared" si="2"/>
        <v>0</v>
      </c>
      <c r="O315" s="10">
        <f t="shared" si="3"/>
        <v>0</v>
      </c>
    </row>
    <row r="316">
      <c r="A316" s="3" t="s">
        <v>41</v>
      </c>
      <c r="B316" s="4">
        <v>15.0</v>
      </c>
      <c r="C316" s="5" t="str">
        <f t="shared" si="1"/>
        <v>0 days 0 hours 0 minutes</v>
      </c>
      <c r="D316" s="6"/>
      <c r="E316" s="7"/>
      <c r="F316" s="7"/>
      <c r="G316" s="7"/>
      <c r="H316" s="8"/>
      <c r="I316" s="9"/>
      <c r="J316" s="9"/>
      <c r="K316" s="9"/>
      <c r="L316" s="9"/>
      <c r="M316" s="9"/>
      <c r="N316" s="10">
        <f t="shared" si="2"/>
        <v>0</v>
      </c>
      <c r="O316" s="10">
        <f t="shared" si="3"/>
        <v>0</v>
      </c>
    </row>
    <row r="317">
      <c r="A317" s="3" t="s">
        <v>41</v>
      </c>
      <c r="B317" s="4">
        <v>16.0</v>
      </c>
      <c r="C317" s="5" t="str">
        <f t="shared" si="1"/>
        <v>0 days 0 hours 0 minutes</v>
      </c>
      <c r="D317" s="6"/>
      <c r="E317" s="7"/>
      <c r="F317" s="7"/>
      <c r="G317" s="7"/>
      <c r="H317" s="8"/>
      <c r="I317" s="9"/>
      <c r="J317" s="9"/>
      <c r="K317" s="9"/>
      <c r="L317" s="9"/>
      <c r="M317" s="9"/>
      <c r="N317" s="10">
        <f t="shared" si="2"/>
        <v>0</v>
      </c>
      <c r="O317" s="10">
        <f t="shared" si="3"/>
        <v>0</v>
      </c>
    </row>
    <row r="318">
      <c r="A318" s="3" t="s">
        <v>41</v>
      </c>
      <c r="B318" s="4">
        <v>17.0</v>
      </c>
      <c r="C318" s="5" t="str">
        <f t="shared" si="1"/>
        <v>0 days 0 hours 0 minutes</v>
      </c>
      <c r="D318" s="6"/>
      <c r="E318" s="7"/>
      <c r="F318" s="7"/>
      <c r="G318" s="7"/>
      <c r="H318" s="8"/>
      <c r="I318" s="9"/>
      <c r="J318" s="9"/>
      <c r="K318" s="9"/>
      <c r="L318" s="9"/>
      <c r="M318" s="9"/>
      <c r="N318" s="10">
        <f t="shared" si="2"/>
        <v>0</v>
      </c>
      <c r="O318" s="10">
        <f t="shared" si="3"/>
        <v>0</v>
      </c>
    </row>
    <row r="319">
      <c r="A319" s="3" t="s">
        <v>41</v>
      </c>
      <c r="B319" s="4">
        <v>18.0</v>
      </c>
      <c r="C319" s="5" t="str">
        <f t="shared" si="1"/>
        <v>0 days 0 hours 0 minutes</v>
      </c>
      <c r="D319" s="6"/>
      <c r="E319" s="7"/>
      <c r="F319" s="7"/>
      <c r="G319" s="7"/>
      <c r="H319" s="8"/>
      <c r="I319" s="9"/>
      <c r="J319" s="9"/>
      <c r="K319" s="9"/>
      <c r="L319" s="9"/>
      <c r="M319" s="9"/>
      <c r="N319" s="10">
        <f t="shared" si="2"/>
        <v>0</v>
      </c>
      <c r="O319" s="10">
        <f t="shared" si="3"/>
        <v>0</v>
      </c>
    </row>
    <row r="320">
      <c r="A320" s="3" t="s">
        <v>41</v>
      </c>
      <c r="B320" s="4">
        <v>19.0</v>
      </c>
      <c r="C320" s="5" t="str">
        <f t="shared" si="1"/>
        <v>0 days 0 hours 0 minutes</v>
      </c>
      <c r="D320" s="6"/>
      <c r="E320" s="7"/>
      <c r="F320" s="7"/>
      <c r="G320" s="7"/>
      <c r="H320" s="8"/>
      <c r="I320" s="9"/>
      <c r="J320" s="9"/>
      <c r="K320" s="9"/>
      <c r="L320" s="9"/>
      <c r="M320" s="9"/>
      <c r="N320" s="10">
        <f t="shared" si="2"/>
        <v>0</v>
      </c>
      <c r="O320" s="10">
        <f t="shared" si="3"/>
        <v>0</v>
      </c>
    </row>
    <row r="321">
      <c r="A321" s="3" t="s">
        <v>41</v>
      </c>
      <c r="B321" s="4">
        <v>20.0</v>
      </c>
      <c r="C321" s="5" t="str">
        <f t="shared" si="1"/>
        <v>0 days 0 hours 0 minutes</v>
      </c>
      <c r="D321" s="6"/>
      <c r="E321" s="7"/>
      <c r="F321" s="7"/>
      <c r="G321" s="7"/>
      <c r="H321" s="8"/>
      <c r="I321" s="9"/>
      <c r="J321" s="9"/>
      <c r="K321" s="9"/>
      <c r="L321" s="9"/>
      <c r="M321" s="9"/>
      <c r="N321" s="10">
        <f t="shared" si="2"/>
        <v>0</v>
      </c>
      <c r="O321" s="10">
        <f t="shared" si="3"/>
        <v>0</v>
      </c>
    </row>
    <row r="322">
      <c r="A322" s="3" t="s">
        <v>41</v>
      </c>
      <c r="B322" s="4">
        <v>21.0</v>
      </c>
      <c r="C322" s="5" t="str">
        <f t="shared" si="1"/>
        <v>0 days 0 hours 0 minutes</v>
      </c>
      <c r="D322" s="6"/>
      <c r="E322" s="7"/>
      <c r="F322" s="7"/>
      <c r="G322" s="7"/>
      <c r="H322" s="8"/>
      <c r="I322" s="9"/>
      <c r="J322" s="9"/>
      <c r="K322" s="9"/>
      <c r="L322" s="9"/>
      <c r="M322" s="9"/>
      <c r="N322" s="10">
        <f t="shared" si="2"/>
        <v>0</v>
      </c>
      <c r="O322" s="10">
        <f t="shared" si="3"/>
        <v>0</v>
      </c>
    </row>
    <row r="323">
      <c r="A323" s="3" t="s">
        <v>41</v>
      </c>
      <c r="B323" s="4">
        <v>22.0</v>
      </c>
      <c r="C323" s="5" t="str">
        <f t="shared" si="1"/>
        <v>0 days 0 hours 0 minutes</v>
      </c>
      <c r="D323" s="6"/>
      <c r="E323" s="7"/>
      <c r="F323" s="7"/>
      <c r="G323" s="7"/>
      <c r="H323" s="8"/>
      <c r="I323" s="9"/>
      <c r="J323" s="9"/>
      <c r="K323" s="9"/>
      <c r="L323" s="9"/>
      <c r="M323" s="9"/>
      <c r="N323" s="10">
        <f t="shared" si="2"/>
        <v>0</v>
      </c>
      <c r="O323" s="10">
        <f t="shared" si="3"/>
        <v>0</v>
      </c>
    </row>
    <row r="324">
      <c r="A324" s="3" t="s">
        <v>41</v>
      </c>
      <c r="B324" s="4">
        <v>23.0</v>
      </c>
      <c r="C324" s="5" t="str">
        <f t="shared" si="1"/>
        <v>0 days 0 hours 0 minutes</v>
      </c>
      <c r="D324" s="12"/>
      <c r="E324" s="11"/>
      <c r="F324" s="11"/>
      <c r="G324" s="11"/>
      <c r="H324" s="13"/>
      <c r="I324" s="14"/>
      <c r="J324" s="14"/>
      <c r="K324" s="14"/>
      <c r="L324" s="14"/>
      <c r="M324" s="14"/>
      <c r="N324" s="10">
        <f t="shared" si="2"/>
        <v>0</v>
      </c>
      <c r="O324" s="10">
        <f t="shared" si="3"/>
        <v>0</v>
      </c>
    </row>
    <row r="325">
      <c r="A325" s="3" t="s">
        <v>41</v>
      </c>
      <c r="B325" s="4">
        <v>24.0</v>
      </c>
      <c r="C325" s="5" t="str">
        <f t="shared" si="1"/>
        <v>10 days 7 hours 54 minutes</v>
      </c>
      <c r="D325" s="12">
        <v>0.65</v>
      </c>
      <c r="E325" s="11">
        <v>6.0</v>
      </c>
      <c r="F325" s="11">
        <v>6.0</v>
      </c>
      <c r="G325" s="11">
        <v>14.0</v>
      </c>
      <c r="H325" s="13">
        <v>59.0</v>
      </c>
      <c r="I325" s="14">
        <v>9700000.0</v>
      </c>
      <c r="J325" s="14">
        <v>1.37E7</v>
      </c>
      <c r="K325" s="14">
        <v>7200000.0</v>
      </c>
      <c r="L325" s="14">
        <v>960000.0</v>
      </c>
      <c r="M325" s="9"/>
      <c r="N325" s="10">
        <f t="shared" si="2"/>
        <v>540899</v>
      </c>
      <c r="O325" s="10">
        <f t="shared" si="3"/>
        <v>892484</v>
      </c>
    </row>
    <row r="326">
      <c r="A326" s="3" t="s">
        <v>41</v>
      </c>
      <c r="B326" s="4">
        <v>25.0</v>
      </c>
      <c r="C326" s="5" t="str">
        <f t="shared" si="1"/>
        <v>0 days 0 hours 0 minutes</v>
      </c>
      <c r="D326" s="6"/>
      <c r="E326" s="7"/>
      <c r="F326" s="7"/>
      <c r="G326" s="7"/>
      <c r="H326" s="8"/>
      <c r="I326" s="9"/>
      <c r="J326" s="9"/>
      <c r="K326" s="9"/>
      <c r="L326" s="9"/>
      <c r="M326" s="9"/>
      <c r="N326" s="10">
        <f t="shared" si="2"/>
        <v>0</v>
      </c>
      <c r="O326" s="10">
        <f t="shared" si="3"/>
        <v>0</v>
      </c>
    </row>
    <row r="327">
      <c r="A327" s="18" t="s">
        <v>42</v>
      </c>
      <c r="B327" s="19">
        <v>1.0</v>
      </c>
      <c r="C327" s="20" t="str">
        <f t="shared" si="1"/>
        <v>0 days 0 hours 0 minutes</v>
      </c>
      <c r="D327" s="21"/>
      <c r="E327" s="22"/>
      <c r="F327" s="22"/>
      <c r="G327" s="22"/>
      <c r="H327" s="23"/>
      <c r="I327" s="24"/>
      <c r="J327" s="24"/>
      <c r="K327" s="24"/>
      <c r="L327" s="24"/>
      <c r="M327" s="24"/>
      <c r="N327" s="25">
        <f t="shared" si="2"/>
        <v>0</v>
      </c>
      <c r="O327" s="25">
        <f t="shared" si="3"/>
        <v>0</v>
      </c>
    </row>
    <row r="328">
      <c r="A328" s="3" t="s">
        <v>42</v>
      </c>
      <c r="B328" s="4">
        <v>2.0</v>
      </c>
      <c r="C328" s="5" t="str">
        <f t="shared" si="1"/>
        <v>0 days 0 hours 0 minutes</v>
      </c>
      <c r="D328" s="6"/>
      <c r="E328" s="7"/>
      <c r="F328" s="7"/>
      <c r="G328" s="7"/>
      <c r="H328" s="8"/>
      <c r="I328" s="9"/>
      <c r="J328" s="9"/>
      <c r="K328" s="9"/>
      <c r="L328" s="9"/>
      <c r="M328" s="9"/>
      <c r="N328" s="10">
        <f t="shared" si="2"/>
        <v>0</v>
      </c>
      <c r="O328" s="10">
        <f t="shared" si="3"/>
        <v>0</v>
      </c>
    </row>
    <row r="329">
      <c r="A329" s="3" t="s">
        <v>42</v>
      </c>
      <c r="B329" s="4">
        <v>3.0</v>
      </c>
      <c r="C329" s="5" t="str">
        <f t="shared" si="1"/>
        <v>0 days 0 hours 0 minutes</v>
      </c>
      <c r="D329" s="6"/>
      <c r="E329" s="7"/>
      <c r="F329" s="7"/>
      <c r="G329" s="7"/>
      <c r="H329" s="8"/>
      <c r="I329" s="9"/>
      <c r="J329" s="9"/>
      <c r="K329" s="9"/>
      <c r="L329" s="9"/>
      <c r="M329" s="9"/>
      <c r="N329" s="10">
        <f t="shared" si="2"/>
        <v>0</v>
      </c>
      <c r="O329" s="10">
        <f t="shared" si="3"/>
        <v>0</v>
      </c>
    </row>
    <row r="330">
      <c r="A330" s="3" t="s">
        <v>42</v>
      </c>
      <c r="B330" s="4">
        <v>4.0</v>
      </c>
      <c r="C330" s="5" t="str">
        <f t="shared" si="1"/>
        <v>0 days 0 hours 0 minutes</v>
      </c>
      <c r="D330" s="6"/>
      <c r="E330" s="7"/>
      <c r="F330" s="7"/>
      <c r="G330" s="7"/>
      <c r="H330" s="8"/>
      <c r="I330" s="9"/>
      <c r="J330" s="9"/>
      <c r="K330" s="9"/>
      <c r="L330" s="9"/>
      <c r="M330" s="9"/>
      <c r="N330" s="10">
        <f t="shared" si="2"/>
        <v>0</v>
      </c>
      <c r="O330" s="10">
        <f t="shared" si="3"/>
        <v>0</v>
      </c>
    </row>
    <row r="331">
      <c r="A331" s="3" t="s">
        <v>42</v>
      </c>
      <c r="B331" s="4">
        <v>5.0</v>
      </c>
      <c r="C331" s="5" t="str">
        <f t="shared" si="1"/>
        <v>0 days 0 hours 25 minutes</v>
      </c>
      <c r="D331" s="12">
        <v>0.34</v>
      </c>
      <c r="E331" s="11">
        <v>0.0</v>
      </c>
      <c r="F331" s="11">
        <v>0.0</v>
      </c>
      <c r="G331" s="11">
        <v>18.0</v>
      </c>
      <c r="H331" s="13">
        <v>40.0</v>
      </c>
      <c r="I331" s="14">
        <v>7000.0</v>
      </c>
      <c r="J331" s="14">
        <v>7000.0</v>
      </c>
      <c r="K331" s="14">
        <v>0.0</v>
      </c>
      <c r="L331" s="14">
        <v>0.0</v>
      </c>
      <c r="M331" s="14"/>
      <c r="N331" s="10">
        <f t="shared" si="2"/>
        <v>1120</v>
      </c>
      <c r="O331" s="10">
        <f t="shared" si="3"/>
        <v>1501</v>
      </c>
    </row>
    <row r="332">
      <c r="A332" s="3" t="s">
        <v>42</v>
      </c>
      <c r="B332" s="4">
        <v>6.0</v>
      </c>
      <c r="C332" s="5" t="str">
        <f t="shared" si="1"/>
        <v>0 days 0 hours 0 minutes</v>
      </c>
      <c r="D332" s="6"/>
      <c r="E332" s="7"/>
      <c r="F332" s="7"/>
      <c r="G332" s="7"/>
      <c r="H332" s="8"/>
      <c r="I332" s="9"/>
      <c r="J332" s="9"/>
      <c r="K332" s="9"/>
      <c r="L332" s="9"/>
      <c r="M332" s="9"/>
      <c r="N332" s="10">
        <f t="shared" si="2"/>
        <v>0</v>
      </c>
      <c r="O332" s="10">
        <f t="shared" si="3"/>
        <v>0</v>
      </c>
    </row>
    <row r="333">
      <c r="A333" s="3" t="s">
        <v>42</v>
      </c>
      <c r="B333" s="4">
        <v>7.0</v>
      </c>
      <c r="C333" s="5" t="str">
        <f t="shared" si="1"/>
        <v>0 days 0 hours 0 minutes</v>
      </c>
      <c r="D333" s="6"/>
      <c r="E333" s="7"/>
      <c r="F333" s="7"/>
      <c r="G333" s="7"/>
      <c r="H333" s="8"/>
      <c r="I333" s="9"/>
      <c r="J333" s="9"/>
      <c r="K333" s="9"/>
      <c r="L333" s="9"/>
      <c r="M333" s="9"/>
      <c r="N333" s="10">
        <f t="shared" si="2"/>
        <v>0</v>
      </c>
      <c r="O333" s="10">
        <f t="shared" si="3"/>
        <v>0</v>
      </c>
    </row>
    <row r="334">
      <c r="A334" s="3" t="s">
        <v>42</v>
      </c>
      <c r="B334" s="4">
        <v>8.0</v>
      </c>
      <c r="C334" s="5" t="str">
        <f t="shared" si="1"/>
        <v>0 days 0 hours 0 minutes</v>
      </c>
      <c r="D334" s="6"/>
      <c r="E334" s="7"/>
      <c r="F334" s="7"/>
      <c r="G334" s="7"/>
      <c r="H334" s="8"/>
      <c r="I334" s="9"/>
      <c r="J334" s="9"/>
      <c r="K334" s="9"/>
      <c r="L334" s="9"/>
      <c r="M334" s="9"/>
      <c r="N334" s="10">
        <f t="shared" si="2"/>
        <v>0</v>
      </c>
      <c r="O334" s="10">
        <f t="shared" si="3"/>
        <v>0</v>
      </c>
    </row>
    <row r="335">
      <c r="A335" s="3" t="s">
        <v>42</v>
      </c>
      <c r="B335" s="4">
        <v>9.0</v>
      </c>
      <c r="C335" s="5" t="str">
        <f t="shared" si="1"/>
        <v>0 days 0 hours 0 minutes</v>
      </c>
      <c r="D335" s="6"/>
      <c r="E335" s="7"/>
      <c r="F335" s="7"/>
      <c r="G335" s="7"/>
      <c r="H335" s="8"/>
      <c r="I335" s="9"/>
      <c r="J335" s="9"/>
      <c r="K335" s="9"/>
      <c r="L335" s="9"/>
      <c r="M335" s="9"/>
      <c r="N335" s="10">
        <f t="shared" si="2"/>
        <v>0</v>
      </c>
      <c r="O335" s="10">
        <f t="shared" si="3"/>
        <v>0</v>
      </c>
    </row>
    <row r="336">
      <c r="A336" s="3" t="s">
        <v>42</v>
      </c>
      <c r="B336" s="4">
        <v>10.0</v>
      </c>
      <c r="C336" s="5" t="str">
        <f t="shared" si="1"/>
        <v>0 days 0 hours 0 minutes</v>
      </c>
      <c r="D336" s="6"/>
      <c r="E336" s="7"/>
      <c r="F336" s="7"/>
      <c r="G336" s="7"/>
      <c r="H336" s="8"/>
      <c r="I336" s="9"/>
      <c r="J336" s="9"/>
      <c r="K336" s="9"/>
      <c r="L336" s="9"/>
      <c r="M336" s="9"/>
      <c r="N336" s="10">
        <f t="shared" si="2"/>
        <v>0</v>
      </c>
      <c r="O336" s="10">
        <f t="shared" si="3"/>
        <v>0</v>
      </c>
    </row>
    <row r="337">
      <c r="A337" s="3" t="s">
        <v>42</v>
      </c>
      <c r="B337" s="4">
        <v>11.0</v>
      </c>
      <c r="C337" s="5" t="str">
        <f t="shared" si="1"/>
        <v>0 days 0 hours 0 minutes</v>
      </c>
      <c r="D337" s="6"/>
      <c r="E337" s="7"/>
      <c r="F337" s="7"/>
      <c r="G337" s="7"/>
      <c r="H337" s="8"/>
      <c r="I337" s="9"/>
      <c r="J337" s="9"/>
      <c r="K337" s="9"/>
      <c r="L337" s="9"/>
      <c r="M337" s="9"/>
      <c r="N337" s="10">
        <f t="shared" si="2"/>
        <v>0</v>
      </c>
      <c r="O337" s="10">
        <f t="shared" si="3"/>
        <v>0</v>
      </c>
    </row>
    <row r="338">
      <c r="A338" s="3" t="s">
        <v>42</v>
      </c>
      <c r="B338" s="4">
        <v>12.0</v>
      </c>
      <c r="C338" s="5" t="str">
        <f t="shared" si="1"/>
        <v>0 days 0 hours 0 minutes</v>
      </c>
      <c r="D338" s="6"/>
      <c r="E338" s="7"/>
      <c r="F338" s="7"/>
      <c r="G338" s="7"/>
      <c r="H338" s="8"/>
      <c r="I338" s="9"/>
      <c r="J338" s="9"/>
      <c r="K338" s="9"/>
      <c r="L338" s="9"/>
      <c r="M338" s="9"/>
      <c r="N338" s="10">
        <f t="shared" si="2"/>
        <v>0</v>
      </c>
      <c r="O338" s="10">
        <f t="shared" si="3"/>
        <v>0</v>
      </c>
    </row>
    <row r="339">
      <c r="A339" s="3" t="s">
        <v>42</v>
      </c>
      <c r="B339" s="4">
        <v>13.0</v>
      </c>
      <c r="C339" s="5" t="str">
        <f t="shared" si="1"/>
        <v>0 days 0 hours 0 minutes</v>
      </c>
      <c r="D339" s="6"/>
      <c r="E339" s="7"/>
      <c r="F339" s="7"/>
      <c r="G339" s="7"/>
      <c r="H339" s="8"/>
      <c r="I339" s="9"/>
      <c r="J339" s="9"/>
      <c r="K339" s="9"/>
      <c r="L339" s="9"/>
      <c r="M339" s="9"/>
      <c r="N339" s="10">
        <f t="shared" si="2"/>
        <v>0</v>
      </c>
      <c r="O339" s="10">
        <f t="shared" si="3"/>
        <v>0</v>
      </c>
    </row>
    <row r="340">
      <c r="A340" s="3" t="s">
        <v>42</v>
      </c>
      <c r="B340" s="4">
        <v>14.0</v>
      </c>
      <c r="C340" s="5" t="str">
        <f t="shared" si="1"/>
        <v>0 days 0 hours 0 minutes</v>
      </c>
      <c r="D340" s="6"/>
      <c r="E340" s="7"/>
      <c r="F340" s="7"/>
      <c r="G340" s="7"/>
      <c r="H340" s="8"/>
      <c r="I340" s="9"/>
      <c r="J340" s="9"/>
      <c r="K340" s="9"/>
      <c r="L340" s="9"/>
      <c r="M340" s="9"/>
      <c r="N340" s="10">
        <f t="shared" si="2"/>
        <v>0</v>
      </c>
      <c r="O340" s="10">
        <f t="shared" si="3"/>
        <v>0</v>
      </c>
    </row>
    <row r="341">
      <c r="A341" s="3" t="s">
        <v>42</v>
      </c>
      <c r="B341" s="4">
        <v>15.0</v>
      </c>
      <c r="C341" s="5" t="str">
        <f t="shared" si="1"/>
        <v>0 days 0 hours 0 minutes</v>
      </c>
      <c r="D341" s="6"/>
      <c r="E341" s="7"/>
      <c r="F341" s="7"/>
      <c r="G341" s="7"/>
      <c r="H341" s="8"/>
      <c r="I341" s="9"/>
      <c r="J341" s="9"/>
      <c r="K341" s="9"/>
      <c r="L341" s="9"/>
      <c r="M341" s="9"/>
      <c r="N341" s="10">
        <f t="shared" si="2"/>
        <v>0</v>
      </c>
      <c r="O341" s="10">
        <f t="shared" si="3"/>
        <v>0</v>
      </c>
    </row>
    <row r="342">
      <c r="A342" s="3" t="s">
        <v>42</v>
      </c>
      <c r="B342" s="4">
        <v>16.0</v>
      </c>
      <c r="C342" s="5" t="str">
        <f t="shared" si="1"/>
        <v>0 days 0 hours 0 minutes</v>
      </c>
      <c r="D342" s="6"/>
      <c r="E342" s="7"/>
      <c r="F342" s="7"/>
      <c r="G342" s="7"/>
      <c r="H342" s="8"/>
      <c r="I342" s="9"/>
      <c r="J342" s="9"/>
      <c r="K342" s="9"/>
      <c r="L342" s="9"/>
      <c r="M342" s="9"/>
      <c r="N342" s="10">
        <f t="shared" si="2"/>
        <v>0</v>
      </c>
      <c r="O342" s="10">
        <f t="shared" si="3"/>
        <v>0</v>
      </c>
    </row>
    <row r="343">
      <c r="A343" s="3" t="s">
        <v>42</v>
      </c>
      <c r="B343" s="4">
        <v>17.0</v>
      </c>
      <c r="C343" s="5" t="str">
        <f t="shared" si="1"/>
        <v>0 days 0 hours 0 minutes</v>
      </c>
      <c r="D343" s="6"/>
      <c r="E343" s="7"/>
      <c r="F343" s="7"/>
      <c r="G343" s="7"/>
      <c r="H343" s="8"/>
      <c r="I343" s="9"/>
      <c r="J343" s="9"/>
      <c r="K343" s="9"/>
      <c r="L343" s="9"/>
      <c r="M343" s="9"/>
      <c r="N343" s="10">
        <f t="shared" si="2"/>
        <v>0</v>
      </c>
      <c r="O343" s="10">
        <f t="shared" si="3"/>
        <v>0</v>
      </c>
    </row>
    <row r="344">
      <c r="A344" s="3" t="s">
        <v>42</v>
      </c>
      <c r="B344" s="4">
        <v>18.0</v>
      </c>
      <c r="C344" s="5" t="str">
        <f t="shared" si="1"/>
        <v>0 days 0 hours 0 minutes</v>
      </c>
      <c r="D344" s="6"/>
      <c r="E344" s="7"/>
      <c r="F344" s="7"/>
      <c r="G344" s="7"/>
      <c r="H344" s="8"/>
      <c r="I344" s="9"/>
      <c r="J344" s="9"/>
      <c r="K344" s="9"/>
      <c r="L344" s="9"/>
      <c r="M344" s="9"/>
      <c r="N344" s="10">
        <f t="shared" si="2"/>
        <v>0</v>
      </c>
      <c r="O344" s="10">
        <f t="shared" si="3"/>
        <v>0</v>
      </c>
    </row>
    <row r="345">
      <c r="A345" s="3" t="s">
        <v>42</v>
      </c>
      <c r="B345" s="4">
        <v>19.0</v>
      </c>
      <c r="C345" s="5" t="str">
        <f t="shared" si="1"/>
        <v>0 days 0 hours 0 minutes</v>
      </c>
      <c r="D345" s="6"/>
      <c r="E345" s="7"/>
      <c r="F345" s="7"/>
      <c r="G345" s="7"/>
      <c r="H345" s="8"/>
      <c r="I345" s="9"/>
      <c r="J345" s="9"/>
      <c r="K345" s="9"/>
      <c r="L345" s="9"/>
      <c r="M345" s="9"/>
      <c r="N345" s="10">
        <f t="shared" si="2"/>
        <v>0</v>
      </c>
      <c r="O345" s="10">
        <f t="shared" si="3"/>
        <v>0</v>
      </c>
    </row>
    <row r="346">
      <c r="A346" s="3" t="s">
        <v>42</v>
      </c>
      <c r="B346" s="4">
        <v>20.0</v>
      </c>
      <c r="C346" s="5" t="str">
        <f t="shared" si="1"/>
        <v>0 days 0 hours 0 minutes</v>
      </c>
      <c r="D346" s="6"/>
      <c r="E346" s="7"/>
      <c r="F346" s="7"/>
      <c r="G346" s="7"/>
      <c r="H346" s="8"/>
      <c r="I346" s="9"/>
      <c r="J346" s="9"/>
      <c r="K346" s="9"/>
      <c r="L346" s="9"/>
      <c r="M346" s="9"/>
      <c r="N346" s="10">
        <f t="shared" si="2"/>
        <v>0</v>
      </c>
      <c r="O346" s="10">
        <f t="shared" si="3"/>
        <v>0</v>
      </c>
    </row>
    <row r="347">
      <c r="A347" s="3" t="s">
        <v>42</v>
      </c>
      <c r="B347" s="4">
        <v>21.0</v>
      </c>
      <c r="C347" s="5" t="str">
        <f t="shared" si="1"/>
        <v>0 days 0 hours 0 minutes</v>
      </c>
      <c r="D347" s="6"/>
      <c r="E347" s="7"/>
      <c r="F347" s="7"/>
      <c r="G347" s="7"/>
      <c r="H347" s="8"/>
      <c r="I347" s="9"/>
      <c r="J347" s="9"/>
      <c r="K347" s="9"/>
      <c r="L347" s="9"/>
      <c r="M347" s="9"/>
      <c r="N347" s="10">
        <f t="shared" si="2"/>
        <v>0</v>
      </c>
      <c r="O347" s="10">
        <f t="shared" si="3"/>
        <v>0</v>
      </c>
    </row>
    <row r="348">
      <c r="A348" s="3" t="s">
        <v>42</v>
      </c>
      <c r="B348" s="4">
        <v>22.0</v>
      </c>
      <c r="C348" s="5" t="str">
        <f t="shared" si="1"/>
        <v>0 days 0 hours 0 minutes</v>
      </c>
      <c r="D348" s="6"/>
      <c r="E348" s="7"/>
      <c r="F348" s="7"/>
      <c r="G348" s="7"/>
      <c r="H348" s="8"/>
      <c r="I348" s="9"/>
      <c r="J348" s="9"/>
      <c r="K348" s="9"/>
      <c r="L348" s="9"/>
      <c r="M348" s="9"/>
      <c r="N348" s="10">
        <f t="shared" si="2"/>
        <v>0</v>
      </c>
      <c r="O348" s="10">
        <f t="shared" si="3"/>
        <v>0</v>
      </c>
    </row>
    <row r="349">
      <c r="A349" s="3" t="s">
        <v>42</v>
      </c>
      <c r="B349" s="4">
        <v>23.0</v>
      </c>
      <c r="C349" s="5" t="str">
        <f t="shared" si="1"/>
        <v>0 days 0 hours 0 minutes</v>
      </c>
      <c r="D349" s="12"/>
      <c r="E349" s="11"/>
      <c r="F349" s="11"/>
      <c r="G349" s="11"/>
      <c r="H349" s="13"/>
      <c r="I349" s="14"/>
      <c r="J349" s="14"/>
      <c r="K349" s="14"/>
      <c r="L349" s="14"/>
      <c r="M349" s="14"/>
      <c r="N349" s="10">
        <f t="shared" si="2"/>
        <v>0</v>
      </c>
      <c r="O349" s="10">
        <f t="shared" si="3"/>
        <v>0</v>
      </c>
    </row>
    <row r="350">
      <c r="A350" s="3" t="s">
        <v>42</v>
      </c>
      <c r="B350" s="4">
        <v>24.0</v>
      </c>
      <c r="C350" s="5" t="str">
        <f t="shared" si="1"/>
        <v>0 days 0 hours 0 minutes</v>
      </c>
      <c r="D350" s="12"/>
      <c r="E350" s="7"/>
      <c r="F350" s="7"/>
      <c r="G350" s="7"/>
      <c r="H350" s="8"/>
      <c r="I350" s="14">
        <v>1.68E7</v>
      </c>
      <c r="J350" s="14">
        <v>1.68E7</v>
      </c>
      <c r="K350" s="14">
        <v>1.26E7</v>
      </c>
      <c r="L350" s="14">
        <v>2300000.0</v>
      </c>
      <c r="M350" s="9"/>
      <c r="N350" s="10">
        <f t="shared" si="2"/>
        <v>0</v>
      </c>
      <c r="O350" s="10">
        <f t="shared" si="3"/>
        <v>0</v>
      </c>
    </row>
    <row r="351">
      <c r="A351" s="3" t="s">
        <v>42</v>
      </c>
      <c r="B351" s="4">
        <v>25.0</v>
      </c>
      <c r="C351" s="5" t="str">
        <f t="shared" si="1"/>
        <v>0 days 0 hours 0 minutes</v>
      </c>
      <c r="D351" s="6"/>
      <c r="E351" s="7"/>
      <c r="F351" s="7"/>
      <c r="G351" s="7"/>
      <c r="H351" s="8"/>
      <c r="I351" s="9"/>
      <c r="J351" s="9"/>
      <c r="K351" s="9"/>
      <c r="L351" s="9"/>
      <c r="M351" s="9"/>
      <c r="N351" s="10">
        <f t="shared" si="2"/>
        <v>0</v>
      </c>
      <c r="O351" s="10">
        <f t="shared" si="3"/>
        <v>0</v>
      </c>
    </row>
    <row r="352">
      <c r="A352" s="18" t="s">
        <v>43</v>
      </c>
      <c r="B352" s="19">
        <v>1.0</v>
      </c>
      <c r="C352" s="20" t="str">
        <f t="shared" si="1"/>
        <v>0 days 0 hours 0 minutes</v>
      </c>
      <c r="D352" s="21"/>
      <c r="E352" s="22"/>
      <c r="F352" s="22"/>
      <c r="G352" s="22"/>
      <c r="H352" s="23"/>
      <c r="I352" s="24"/>
      <c r="J352" s="24"/>
      <c r="K352" s="24"/>
      <c r="L352" s="24"/>
      <c r="M352" s="24"/>
      <c r="N352" s="25">
        <f t="shared" si="2"/>
        <v>0</v>
      </c>
      <c r="O352" s="25">
        <f t="shared" si="3"/>
        <v>0</v>
      </c>
    </row>
    <row r="353">
      <c r="A353" s="3" t="s">
        <v>43</v>
      </c>
      <c r="B353" s="4">
        <v>2.0</v>
      </c>
      <c r="C353" s="5" t="str">
        <f t="shared" si="1"/>
        <v>0 days 0 hours 0 minutes</v>
      </c>
      <c r="D353" s="6"/>
      <c r="E353" s="7"/>
      <c r="F353" s="7"/>
      <c r="G353" s="7"/>
      <c r="H353" s="8"/>
      <c r="I353" s="9"/>
      <c r="J353" s="9"/>
      <c r="K353" s="9"/>
      <c r="L353" s="9"/>
      <c r="M353" s="9"/>
      <c r="N353" s="10">
        <f t="shared" si="2"/>
        <v>0</v>
      </c>
      <c r="O353" s="10">
        <f t="shared" si="3"/>
        <v>0</v>
      </c>
    </row>
    <row r="354">
      <c r="A354" s="3" t="s">
        <v>43</v>
      </c>
      <c r="B354" s="4">
        <v>3.0</v>
      </c>
      <c r="C354" s="5" t="str">
        <f t="shared" si="1"/>
        <v>0 days 0 hours 0 minutes</v>
      </c>
      <c r="D354" s="6"/>
      <c r="E354" s="7"/>
      <c r="F354" s="7"/>
      <c r="G354" s="7"/>
      <c r="H354" s="8"/>
      <c r="I354" s="9"/>
      <c r="J354" s="9"/>
      <c r="K354" s="9"/>
      <c r="L354" s="9"/>
      <c r="M354" s="9"/>
      <c r="N354" s="10">
        <f t="shared" si="2"/>
        <v>0</v>
      </c>
      <c r="O354" s="10">
        <f t="shared" si="3"/>
        <v>0</v>
      </c>
    </row>
    <row r="355">
      <c r="A355" s="3" t="s">
        <v>43</v>
      </c>
      <c r="B355" s="4">
        <v>4.0</v>
      </c>
      <c r="C355" s="5" t="str">
        <f t="shared" si="1"/>
        <v>0 days 0 hours 0 minutes</v>
      </c>
      <c r="D355" s="6"/>
      <c r="E355" s="7"/>
      <c r="F355" s="7"/>
      <c r="G355" s="7"/>
      <c r="H355" s="8"/>
      <c r="I355" s="9"/>
      <c r="J355" s="9"/>
      <c r="K355" s="9"/>
      <c r="L355" s="9"/>
      <c r="M355" s="9"/>
      <c r="N355" s="10">
        <f t="shared" si="2"/>
        <v>0</v>
      </c>
      <c r="O355" s="10">
        <f t="shared" si="3"/>
        <v>0</v>
      </c>
    </row>
    <row r="356">
      <c r="A356" s="3" t="s">
        <v>43</v>
      </c>
      <c r="B356" s="4">
        <v>5.0</v>
      </c>
      <c r="C356" s="5" t="str">
        <f t="shared" si="1"/>
        <v>0 days 0 hours 0 minutes</v>
      </c>
      <c r="D356" s="6"/>
      <c r="E356" s="7"/>
      <c r="F356" s="7"/>
      <c r="G356" s="7"/>
      <c r="H356" s="8"/>
      <c r="I356" s="9"/>
      <c r="J356" s="9"/>
      <c r="K356" s="9"/>
      <c r="L356" s="9"/>
      <c r="M356" s="9"/>
      <c r="N356" s="10">
        <f t="shared" si="2"/>
        <v>0</v>
      </c>
      <c r="O356" s="10">
        <f t="shared" si="3"/>
        <v>0</v>
      </c>
    </row>
    <row r="357">
      <c r="A357" s="3" t="s">
        <v>43</v>
      </c>
      <c r="B357" s="4">
        <v>6.0</v>
      </c>
      <c r="C357" s="5" t="str">
        <f t="shared" si="1"/>
        <v>0 days 0 hours 0 minutes</v>
      </c>
      <c r="D357" s="6"/>
      <c r="E357" s="7"/>
      <c r="F357" s="7"/>
      <c r="G357" s="7"/>
      <c r="H357" s="8"/>
      <c r="I357" s="9"/>
      <c r="J357" s="9"/>
      <c r="K357" s="9"/>
      <c r="L357" s="9"/>
      <c r="M357" s="9"/>
      <c r="N357" s="10">
        <f t="shared" si="2"/>
        <v>0</v>
      </c>
      <c r="O357" s="10">
        <f t="shared" si="3"/>
        <v>0</v>
      </c>
    </row>
    <row r="358">
      <c r="A358" s="3" t="s">
        <v>43</v>
      </c>
      <c r="B358" s="4">
        <v>7.0</v>
      </c>
      <c r="C358" s="5" t="str">
        <f t="shared" si="1"/>
        <v>0 days 0 hours 0 minutes</v>
      </c>
      <c r="D358" s="6"/>
      <c r="E358" s="7"/>
      <c r="F358" s="7"/>
      <c r="G358" s="7"/>
      <c r="H358" s="8"/>
      <c r="I358" s="9"/>
      <c r="J358" s="9"/>
      <c r="K358" s="9"/>
      <c r="L358" s="9"/>
      <c r="M358" s="9"/>
      <c r="N358" s="10">
        <f t="shared" si="2"/>
        <v>0</v>
      </c>
      <c r="O358" s="10">
        <f t="shared" si="3"/>
        <v>0</v>
      </c>
    </row>
    <row r="359">
      <c r="A359" s="3" t="s">
        <v>43</v>
      </c>
      <c r="B359" s="4">
        <v>8.0</v>
      </c>
      <c r="C359" s="5" t="str">
        <f t="shared" si="1"/>
        <v>0 days 0 hours 0 minutes</v>
      </c>
      <c r="D359" s="6"/>
      <c r="E359" s="7"/>
      <c r="F359" s="7"/>
      <c r="G359" s="7"/>
      <c r="H359" s="8"/>
      <c r="I359" s="9"/>
      <c r="J359" s="9"/>
      <c r="K359" s="9"/>
      <c r="L359" s="9"/>
      <c r="M359" s="9"/>
      <c r="N359" s="10">
        <f t="shared" si="2"/>
        <v>0</v>
      </c>
      <c r="O359" s="10">
        <f t="shared" si="3"/>
        <v>0</v>
      </c>
    </row>
    <row r="360">
      <c r="A360" s="3" t="s">
        <v>43</v>
      </c>
      <c r="B360" s="4">
        <v>9.0</v>
      </c>
      <c r="C360" s="5" t="str">
        <f t="shared" si="1"/>
        <v>0 days 0 hours 0 minutes</v>
      </c>
      <c r="D360" s="6"/>
      <c r="E360" s="7"/>
      <c r="F360" s="7"/>
      <c r="G360" s="7"/>
      <c r="H360" s="8"/>
      <c r="I360" s="9"/>
      <c r="J360" s="9"/>
      <c r="K360" s="9"/>
      <c r="L360" s="9"/>
      <c r="M360" s="9"/>
      <c r="N360" s="10">
        <f t="shared" si="2"/>
        <v>0</v>
      </c>
      <c r="O360" s="10">
        <f t="shared" si="3"/>
        <v>0</v>
      </c>
    </row>
    <row r="361">
      <c r="A361" s="3" t="s">
        <v>43</v>
      </c>
      <c r="B361" s="4">
        <v>10.0</v>
      </c>
      <c r="C361" s="5" t="str">
        <f t="shared" si="1"/>
        <v>0 days 0 hours 0 minutes</v>
      </c>
      <c r="D361" s="6"/>
      <c r="E361" s="7"/>
      <c r="F361" s="7"/>
      <c r="G361" s="7"/>
      <c r="H361" s="8"/>
      <c r="I361" s="9"/>
      <c r="J361" s="9"/>
      <c r="K361" s="9"/>
      <c r="L361" s="9"/>
      <c r="M361" s="9"/>
      <c r="N361" s="10">
        <f t="shared" si="2"/>
        <v>0</v>
      </c>
      <c r="O361" s="10">
        <f t="shared" si="3"/>
        <v>0</v>
      </c>
    </row>
    <row r="362">
      <c r="A362" s="3" t="s">
        <v>43</v>
      </c>
      <c r="B362" s="4">
        <v>11.0</v>
      </c>
      <c r="C362" s="5" t="str">
        <f t="shared" si="1"/>
        <v>0 days 0 hours 0 minutes</v>
      </c>
      <c r="D362" s="6"/>
      <c r="E362" s="7"/>
      <c r="F362" s="7"/>
      <c r="G362" s="7"/>
      <c r="H362" s="8"/>
      <c r="I362" s="9"/>
      <c r="J362" s="9"/>
      <c r="K362" s="9"/>
      <c r="L362" s="9"/>
      <c r="M362" s="9"/>
      <c r="N362" s="10">
        <f t="shared" si="2"/>
        <v>0</v>
      </c>
      <c r="O362" s="10">
        <f t="shared" si="3"/>
        <v>0</v>
      </c>
    </row>
    <row r="363">
      <c r="A363" s="3" t="s">
        <v>43</v>
      </c>
      <c r="B363" s="4">
        <v>12.0</v>
      </c>
      <c r="C363" s="5" t="str">
        <f t="shared" si="1"/>
        <v>0 days 0 hours 0 minutes</v>
      </c>
      <c r="D363" s="6"/>
      <c r="E363" s="7"/>
      <c r="F363" s="7"/>
      <c r="G363" s="7"/>
      <c r="H363" s="8"/>
      <c r="I363" s="9"/>
      <c r="J363" s="9"/>
      <c r="K363" s="9"/>
      <c r="L363" s="9"/>
      <c r="M363" s="9"/>
      <c r="N363" s="10">
        <f t="shared" si="2"/>
        <v>0</v>
      </c>
      <c r="O363" s="10">
        <f t="shared" si="3"/>
        <v>0</v>
      </c>
    </row>
    <row r="364">
      <c r="A364" s="3" t="s">
        <v>43</v>
      </c>
      <c r="B364" s="4">
        <v>13.0</v>
      </c>
      <c r="C364" s="5" t="str">
        <f t="shared" si="1"/>
        <v>0 days 0 hours 0 minutes</v>
      </c>
      <c r="D364" s="6"/>
      <c r="E364" s="7"/>
      <c r="F364" s="7"/>
      <c r="G364" s="7"/>
      <c r="H364" s="8"/>
      <c r="I364" s="9"/>
      <c r="J364" s="9"/>
      <c r="K364" s="9"/>
      <c r="L364" s="9"/>
      <c r="M364" s="9"/>
      <c r="N364" s="10">
        <f t="shared" si="2"/>
        <v>0</v>
      </c>
      <c r="O364" s="10">
        <f t="shared" si="3"/>
        <v>0</v>
      </c>
    </row>
    <row r="365">
      <c r="A365" s="3" t="s">
        <v>43</v>
      </c>
      <c r="B365" s="4">
        <v>14.0</v>
      </c>
      <c r="C365" s="5" t="str">
        <f t="shared" si="1"/>
        <v>0 days 0 hours 0 minutes</v>
      </c>
      <c r="D365" s="6"/>
      <c r="E365" s="7"/>
      <c r="F365" s="7"/>
      <c r="G365" s="7"/>
      <c r="H365" s="8"/>
      <c r="I365" s="9"/>
      <c r="J365" s="9"/>
      <c r="K365" s="9"/>
      <c r="L365" s="9"/>
      <c r="M365" s="9"/>
      <c r="N365" s="10">
        <f t="shared" si="2"/>
        <v>0</v>
      </c>
      <c r="O365" s="10">
        <f t="shared" si="3"/>
        <v>0</v>
      </c>
    </row>
    <row r="366">
      <c r="A366" s="3" t="s">
        <v>43</v>
      </c>
      <c r="B366" s="4">
        <v>15.0</v>
      </c>
      <c r="C366" s="5" t="str">
        <f t="shared" si="1"/>
        <v>0 days 19 hours 54 minutes</v>
      </c>
      <c r="D366" s="12">
        <v>0.34</v>
      </c>
      <c r="E366" s="11">
        <v>0.0</v>
      </c>
      <c r="F366" s="11">
        <v>14.0</v>
      </c>
      <c r="G366" s="11">
        <v>51.0</v>
      </c>
      <c r="H366" s="13">
        <v>20.0</v>
      </c>
      <c r="I366" s="14">
        <v>242000.0</v>
      </c>
      <c r="J366" s="14">
        <v>242000.0</v>
      </c>
      <c r="K366" s="14">
        <v>181500.0</v>
      </c>
      <c r="L366" s="14">
        <v>24000.0</v>
      </c>
      <c r="M366" s="14"/>
      <c r="N366" s="10">
        <f t="shared" si="2"/>
        <v>53480</v>
      </c>
      <c r="O366" s="10">
        <f t="shared" si="3"/>
        <v>71664</v>
      </c>
    </row>
    <row r="367">
      <c r="A367" s="3" t="s">
        <v>43</v>
      </c>
      <c r="B367" s="4">
        <v>16.0</v>
      </c>
      <c r="C367" s="5" t="str">
        <f t="shared" si="1"/>
        <v>0 days 0 hours 0 minutes</v>
      </c>
      <c r="D367" s="6"/>
      <c r="E367" s="7"/>
      <c r="F367" s="7"/>
      <c r="G367" s="7"/>
      <c r="H367" s="8"/>
      <c r="I367" s="9"/>
      <c r="J367" s="9"/>
      <c r="K367" s="9"/>
      <c r="L367" s="9"/>
      <c r="M367" s="9"/>
      <c r="N367" s="10">
        <f t="shared" si="2"/>
        <v>0</v>
      </c>
      <c r="O367" s="10">
        <f t="shared" si="3"/>
        <v>0</v>
      </c>
    </row>
    <row r="368">
      <c r="A368" s="3" t="s">
        <v>43</v>
      </c>
      <c r="B368" s="4">
        <v>17.0</v>
      </c>
      <c r="C368" s="5" t="str">
        <f t="shared" si="1"/>
        <v>0 days 0 hours 0 minutes</v>
      </c>
      <c r="D368" s="6"/>
      <c r="E368" s="7"/>
      <c r="F368" s="7"/>
      <c r="G368" s="7"/>
      <c r="H368" s="8"/>
      <c r="I368" s="9"/>
      <c r="J368" s="9"/>
      <c r="K368" s="9"/>
      <c r="L368" s="9"/>
      <c r="M368" s="9"/>
      <c r="N368" s="10">
        <f t="shared" si="2"/>
        <v>0</v>
      </c>
      <c r="O368" s="10">
        <f t="shared" si="3"/>
        <v>0</v>
      </c>
    </row>
    <row r="369">
      <c r="A369" s="3" t="s">
        <v>43</v>
      </c>
      <c r="B369" s="4">
        <v>18.0</v>
      </c>
      <c r="C369" s="5" t="str">
        <f t="shared" si="1"/>
        <v>0 days 0 hours 0 minutes</v>
      </c>
      <c r="D369" s="6"/>
      <c r="E369" s="7"/>
      <c r="F369" s="7"/>
      <c r="G369" s="7"/>
      <c r="H369" s="8"/>
      <c r="I369" s="9"/>
      <c r="J369" s="9"/>
      <c r="K369" s="9"/>
      <c r="L369" s="9"/>
      <c r="M369" s="9"/>
      <c r="N369" s="10">
        <f t="shared" si="2"/>
        <v>0</v>
      </c>
      <c r="O369" s="10">
        <f t="shared" si="3"/>
        <v>0</v>
      </c>
    </row>
    <row r="370">
      <c r="A370" s="3" t="s">
        <v>43</v>
      </c>
      <c r="B370" s="4">
        <v>19.0</v>
      </c>
      <c r="C370" s="5" t="str">
        <f t="shared" si="1"/>
        <v>1 days 17 hours 16 minutes</v>
      </c>
      <c r="D370" s="12">
        <v>0.85</v>
      </c>
      <c r="E370" s="11">
        <v>0.0</v>
      </c>
      <c r="F370" s="11">
        <v>22.0</v>
      </c>
      <c r="G370" s="11">
        <v>18.0</v>
      </c>
      <c r="H370" s="13">
        <v>43.0</v>
      </c>
      <c r="I370" s="14">
        <v>1200000.0</v>
      </c>
      <c r="J370" s="14">
        <v>1200000.0</v>
      </c>
      <c r="K370" s="14">
        <v>938000.0</v>
      </c>
      <c r="L370" s="14">
        <v>125000.0</v>
      </c>
      <c r="M370" s="14"/>
      <c r="N370" s="10">
        <f t="shared" si="2"/>
        <v>80323</v>
      </c>
      <c r="O370" s="10">
        <f t="shared" si="3"/>
        <v>148598</v>
      </c>
    </row>
    <row r="371">
      <c r="A371" s="3" t="s">
        <v>43</v>
      </c>
      <c r="B371" s="4">
        <v>20.0</v>
      </c>
      <c r="C371" s="5" t="str">
        <f t="shared" si="1"/>
        <v>0 days 0 hours 0 minutes</v>
      </c>
      <c r="D371" s="6"/>
      <c r="E371" s="7"/>
      <c r="F371" s="7"/>
      <c r="G371" s="7"/>
      <c r="H371" s="8"/>
      <c r="I371" s="9"/>
      <c r="J371" s="9"/>
      <c r="K371" s="9"/>
      <c r="L371" s="9"/>
      <c r="M371" s="9"/>
      <c r="N371" s="10">
        <f t="shared" si="2"/>
        <v>0</v>
      </c>
      <c r="O371" s="10">
        <f t="shared" si="3"/>
        <v>0</v>
      </c>
    </row>
    <row r="372">
      <c r="A372" s="3" t="s">
        <v>43</v>
      </c>
      <c r="B372" s="4">
        <v>21.0</v>
      </c>
      <c r="C372" s="5" t="str">
        <f t="shared" si="1"/>
        <v>0 days 0 hours 0 minutes</v>
      </c>
      <c r="D372" s="6"/>
      <c r="E372" s="7"/>
      <c r="F372" s="7"/>
      <c r="G372" s="7"/>
      <c r="H372" s="8"/>
      <c r="I372" s="9"/>
      <c r="J372" s="9"/>
      <c r="K372" s="9"/>
      <c r="L372" s="9"/>
      <c r="M372" s="9"/>
      <c r="N372" s="10">
        <f t="shared" si="2"/>
        <v>0</v>
      </c>
      <c r="O372" s="10">
        <f t="shared" si="3"/>
        <v>0</v>
      </c>
    </row>
    <row r="373">
      <c r="A373" s="3" t="s">
        <v>43</v>
      </c>
      <c r="B373" s="4">
        <v>22.0</v>
      </c>
      <c r="C373" s="5" t="str">
        <f t="shared" si="1"/>
        <v>0 days 0 hours 0 minutes</v>
      </c>
      <c r="D373" s="6"/>
      <c r="E373" s="7"/>
      <c r="F373" s="7"/>
      <c r="G373" s="7"/>
      <c r="H373" s="8"/>
      <c r="I373" s="9"/>
      <c r="J373" s="9"/>
      <c r="K373" s="9"/>
      <c r="L373" s="9"/>
      <c r="M373" s="9"/>
      <c r="N373" s="10">
        <f t="shared" si="2"/>
        <v>0</v>
      </c>
      <c r="O373" s="10">
        <f t="shared" si="3"/>
        <v>0</v>
      </c>
    </row>
    <row r="374">
      <c r="A374" s="3" t="s">
        <v>43</v>
      </c>
      <c r="B374" s="4">
        <v>23.0</v>
      </c>
      <c r="C374" s="5" t="str">
        <f t="shared" si="1"/>
        <v>0 days 0 hours 0 minutes</v>
      </c>
      <c r="D374" s="12"/>
      <c r="E374" s="11"/>
      <c r="F374" s="11"/>
      <c r="G374" s="11"/>
      <c r="H374" s="13"/>
      <c r="I374" s="14"/>
      <c r="J374" s="14"/>
      <c r="K374" s="14"/>
      <c r="L374" s="14"/>
      <c r="M374" s="14"/>
      <c r="N374" s="10">
        <f t="shared" si="2"/>
        <v>0</v>
      </c>
      <c r="O374" s="10">
        <f t="shared" si="3"/>
        <v>0</v>
      </c>
    </row>
    <row r="375">
      <c r="A375" s="3" t="s">
        <v>43</v>
      </c>
      <c r="B375" s="4">
        <v>24.0</v>
      </c>
      <c r="C375" s="5" t="str">
        <f t="shared" si="1"/>
        <v>0 days 0 hours 0 minutes</v>
      </c>
      <c r="D375" s="12"/>
      <c r="E375" s="7"/>
      <c r="F375" s="7"/>
      <c r="G375" s="7"/>
      <c r="H375" s="8"/>
      <c r="I375" s="9"/>
      <c r="J375" s="9"/>
      <c r="K375" s="9"/>
      <c r="L375" s="9"/>
      <c r="M375" s="9"/>
      <c r="N375" s="10">
        <f t="shared" si="2"/>
        <v>0</v>
      </c>
      <c r="O375" s="10">
        <f t="shared" si="3"/>
        <v>0</v>
      </c>
    </row>
    <row r="376">
      <c r="A376" s="3" t="s">
        <v>43</v>
      </c>
      <c r="B376" s="4">
        <v>25.0</v>
      </c>
      <c r="C376" s="5" t="str">
        <f t="shared" si="1"/>
        <v>0 days 0 hours 0 minutes</v>
      </c>
      <c r="D376" s="6"/>
      <c r="E376" s="7"/>
      <c r="F376" s="7"/>
      <c r="G376" s="7"/>
      <c r="H376" s="8"/>
      <c r="I376" s="9"/>
      <c r="J376" s="9"/>
      <c r="K376" s="9"/>
      <c r="L376" s="9"/>
      <c r="M376" s="9"/>
      <c r="N376" s="10">
        <f t="shared" si="2"/>
        <v>0</v>
      </c>
      <c r="O376" s="10">
        <f t="shared" si="3"/>
        <v>0</v>
      </c>
    </row>
    <row r="377">
      <c r="A377" s="18" t="s">
        <v>44</v>
      </c>
      <c r="B377" s="19">
        <v>1.0</v>
      </c>
      <c r="C377" s="20" t="str">
        <f t="shared" si="1"/>
        <v>0 days 0 hours 0 minutes</v>
      </c>
      <c r="D377" s="21"/>
      <c r="E377" s="22"/>
      <c r="F377" s="22"/>
      <c r="G377" s="22"/>
      <c r="H377" s="23"/>
      <c r="I377" s="24"/>
      <c r="J377" s="24"/>
      <c r="K377" s="24"/>
      <c r="L377" s="24"/>
      <c r="M377" s="24"/>
      <c r="N377" s="25">
        <f t="shared" si="2"/>
        <v>0</v>
      </c>
      <c r="O377" s="25">
        <f t="shared" si="3"/>
        <v>0</v>
      </c>
    </row>
    <row r="378">
      <c r="A378" s="3" t="s">
        <v>44</v>
      </c>
      <c r="B378" s="4">
        <v>2.0</v>
      </c>
      <c r="C378" s="5" t="str">
        <f t="shared" si="1"/>
        <v>0 days 0 hours 0 minutes</v>
      </c>
      <c r="D378" s="6"/>
      <c r="E378" s="7"/>
      <c r="F378" s="7"/>
      <c r="G378" s="7"/>
      <c r="H378" s="8"/>
      <c r="I378" s="9"/>
      <c r="J378" s="9"/>
      <c r="K378" s="9"/>
      <c r="L378" s="9"/>
      <c r="M378" s="9"/>
      <c r="N378" s="10">
        <f t="shared" si="2"/>
        <v>0</v>
      </c>
      <c r="O378" s="10">
        <f t="shared" si="3"/>
        <v>0</v>
      </c>
    </row>
    <row r="379">
      <c r="A379" s="3" t="s">
        <v>44</v>
      </c>
      <c r="B379" s="4">
        <v>3.0</v>
      </c>
      <c r="C379" s="5" t="str">
        <f t="shared" si="1"/>
        <v>0 days 0 hours 0 minutes</v>
      </c>
      <c r="D379" s="6"/>
      <c r="E379" s="7"/>
      <c r="F379" s="7"/>
      <c r="G379" s="7"/>
      <c r="H379" s="8"/>
      <c r="I379" s="9"/>
      <c r="J379" s="9"/>
      <c r="K379" s="9"/>
      <c r="L379" s="9"/>
      <c r="M379" s="9"/>
      <c r="N379" s="10">
        <f t="shared" si="2"/>
        <v>0</v>
      </c>
      <c r="O379" s="10">
        <f t="shared" si="3"/>
        <v>0</v>
      </c>
    </row>
    <row r="380">
      <c r="A380" s="3" t="s">
        <v>44</v>
      </c>
      <c r="B380" s="4">
        <v>4.0</v>
      </c>
      <c r="C380" s="5" t="str">
        <f t="shared" si="1"/>
        <v>0 days 0 hours 0 minutes</v>
      </c>
      <c r="D380" s="6"/>
      <c r="E380" s="7"/>
      <c r="F380" s="7"/>
      <c r="G380" s="7"/>
      <c r="H380" s="8"/>
      <c r="I380" s="9"/>
      <c r="J380" s="9"/>
      <c r="K380" s="9"/>
      <c r="L380" s="9"/>
      <c r="M380" s="9"/>
      <c r="N380" s="10">
        <f t="shared" si="2"/>
        <v>0</v>
      </c>
      <c r="O380" s="10">
        <f t="shared" si="3"/>
        <v>0</v>
      </c>
    </row>
    <row r="381">
      <c r="A381" s="3" t="s">
        <v>44</v>
      </c>
      <c r="B381" s="4">
        <v>5.0</v>
      </c>
      <c r="C381" s="5" t="str">
        <f t="shared" si="1"/>
        <v>0 days 0 hours 0 minutes</v>
      </c>
      <c r="D381" s="6"/>
      <c r="E381" s="7"/>
      <c r="F381" s="7"/>
      <c r="G381" s="7"/>
      <c r="H381" s="8"/>
      <c r="I381" s="9"/>
      <c r="J381" s="9"/>
      <c r="K381" s="9"/>
      <c r="L381" s="9"/>
      <c r="M381" s="9"/>
      <c r="N381" s="10">
        <f t="shared" si="2"/>
        <v>0</v>
      </c>
      <c r="O381" s="10">
        <f t="shared" si="3"/>
        <v>0</v>
      </c>
    </row>
    <row r="382">
      <c r="A382" s="3" t="s">
        <v>44</v>
      </c>
      <c r="B382" s="4">
        <v>6.0</v>
      </c>
      <c r="C382" s="5" t="str">
        <f t="shared" si="1"/>
        <v>0 days 0 hours 0 minutes</v>
      </c>
      <c r="D382" s="6"/>
      <c r="E382" s="7"/>
      <c r="F382" s="7"/>
      <c r="G382" s="7"/>
      <c r="H382" s="8"/>
      <c r="I382" s="9"/>
      <c r="J382" s="9"/>
      <c r="K382" s="9"/>
      <c r="L382" s="9"/>
      <c r="M382" s="9"/>
      <c r="N382" s="10">
        <f t="shared" si="2"/>
        <v>0</v>
      </c>
      <c r="O382" s="10">
        <f t="shared" si="3"/>
        <v>0</v>
      </c>
    </row>
    <row r="383">
      <c r="A383" s="3" t="s">
        <v>44</v>
      </c>
      <c r="B383" s="4">
        <v>7.0</v>
      </c>
      <c r="C383" s="5" t="str">
        <f t="shared" si="1"/>
        <v>0 days 0 hours 0 minutes</v>
      </c>
      <c r="D383" s="6"/>
      <c r="E383" s="7"/>
      <c r="F383" s="7"/>
      <c r="G383" s="7"/>
      <c r="H383" s="8"/>
      <c r="I383" s="9"/>
      <c r="J383" s="9"/>
      <c r="K383" s="9"/>
      <c r="L383" s="9"/>
      <c r="M383" s="9"/>
      <c r="N383" s="10">
        <f t="shared" si="2"/>
        <v>0</v>
      </c>
      <c r="O383" s="10">
        <f t="shared" si="3"/>
        <v>0</v>
      </c>
    </row>
    <row r="384">
      <c r="A384" s="3" t="s">
        <v>44</v>
      </c>
      <c r="B384" s="4">
        <v>8.0</v>
      </c>
      <c r="C384" s="5" t="str">
        <f t="shared" si="1"/>
        <v>0 days 0 hours 0 minutes</v>
      </c>
      <c r="D384" s="6"/>
      <c r="E384" s="7"/>
      <c r="F384" s="7"/>
      <c r="G384" s="7"/>
      <c r="H384" s="8"/>
      <c r="I384" s="9"/>
      <c r="J384" s="9"/>
      <c r="K384" s="9"/>
      <c r="L384" s="9"/>
      <c r="M384" s="9"/>
      <c r="N384" s="10">
        <f t="shared" si="2"/>
        <v>0</v>
      </c>
      <c r="O384" s="10">
        <f t="shared" si="3"/>
        <v>0</v>
      </c>
    </row>
    <row r="385">
      <c r="A385" s="3" t="s">
        <v>44</v>
      </c>
      <c r="B385" s="4">
        <v>9.0</v>
      </c>
      <c r="C385" s="5" t="str">
        <f t="shared" si="1"/>
        <v>0 days 0 hours 0 minutes</v>
      </c>
      <c r="D385" s="6"/>
      <c r="E385" s="7"/>
      <c r="F385" s="7"/>
      <c r="G385" s="7"/>
      <c r="H385" s="8"/>
      <c r="I385" s="9"/>
      <c r="J385" s="9"/>
      <c r="K385" s="9"/>
      <c r="L385" s="9"/>
      <c r="M385" s="9"/>
      <c r="N385" s="10">
        <f t="shared" si="2"/>
        <v>0</v>
      </c>
      <c r="O385" s="10">
        <f t="shared" si="3"/>
        <v>0</v>
      </c>
    </row>
    <row r="386">
      <c r="A386" s="3" t="s">
        <v>44</v>
      </c>
      <c r="B386" s="4">
        <v>10.0</v>
      </c>
      <c r="C386" s="5" t="str">
        <f t="shared" si="1"/>
        <v>0 days 0 hours 0 minutes</v>
      </c>
      <c r="D386" s="6"/>
      <c r="E386" s="7"/>
      <c r="F386" s="7"/>
      <c r="G386" s="7"/>
      <c r="H386" s="8"/>
      <c r="I386" s="9"/>
      <c r="J386" s="9"/>
      <c r="K386" s="9"/>
      <c r="L386" s="9"/>
      <c r="M386" s="9"/>
      <c r="N386" s="10">
        <f t="shared" si="2"/>
        <v>0</v>
      </c>
      <c r="O386" s="10">
        <f t="shared" si="3"/>
        <v>0</v>
      </c>
    </row>
    <row r="387">
      <c r="A387" s="3" t="s">
        <v>44</v>
      </c>
      <c r="B387" s="4">
        <v>11.0</v>
      </c>
      <c r="C387" s="5" t="str">
        <f t="shared" si="1"/>
        <v>0 days 0 hours 0 minutes</v>
      </c>
      <c r="D387" s="6"/>
      <c r="E387" s="7"/>
      <c r="F387" s="7"/>
      <c r="G387" s="7"/>
      <c r="H387" s="8"/>
      <c r="I387" s="9"/>
      <c r="J387" s="9"/>
      <c r="K387" s="9"/>
      <c r="L387" s="9"/>
      <c r="M387" s="9"/>
      <c r="N387" s="10">
        <f t="shared" si="2"/>
        <v>0</v>
      </c>
      <c r="O387" s="10">
        <f t="shared" si="3"/>
        <v>0</v>
      </c>
    </row>
    <row r="388">
      <c r="A388" s="3" t="s">
        <v>44</v>
      </c>
      <c r="B388" s="4">
        <v>12.0</v>
      </c>
      <c r="C388" s="5" t="str">
        <f t="shared" si="1"/>
        <v>0 days 0 hours 0 minutes</v>
      </c>
      <c r="D388" s="6"/>
      <c r="E388" s="7"/>
      <c r="F388" s="7"/>
      <c r="G388" s="7"/>
      <c r="H388" s="8"/>
      <c r="I388" s="9"/>
      <c r="J388" s="9"/>
      <c r="K388" s="9"/>
      <c r="L388" s="9"/>
      <c r="M388" s="9"/>
      <c r="N388" s="10">
        <f t="shared" si="2"/>
        <v>0</v>
      </c>
      <c r="O388" s="10">
        <f t="shared" si="3"/>
        <v>0</v>
      </c>
    </row>
    <row r="389">
      <c r="A389" s="3" t="s">
        <v>44</v>
      </c>
      <c r="B389" s="4">
        <v>13.0</v>
      </c>
      <c r="C389" s="5" t="str">
        <f t="shared" si="1"/>
        <v>0 days 0 hours 0 minutes</v>
      </c>
      <c r="D389" s="6"/>
      <c r="E389" s="7"/>
      <c r="F389" s="7"/>
      <c r="G389" s="7"/>
      <c r="H389" s="8"/>
      <c r="I389" s="9"/>
      <c r="J389" s="9"/>
      <c r="K389" s="9"/>
      <c r="L389" s="9"/>
      <c r="M389" s="9"/>
      <c r="N389" s="10">
        <f t="shared" si="2"/>
        <v>0</v>
      </c>
      <c r="O389" s="10">
        <f t="shared" si="3"/>
        <v>0</v>
      </c>
    </row>
    <row r="390">
      <c r="A390" s="3" t="s">
        <v>44</v>
      </c>
      <c r="B390" s="4">
        <v>14.0</v>
      </c>
      <c r="C390" s="5" t="str">
        <f t="shared" si="1"/>
        <v>0 days 0 hours 0 minutes</v>
      </c>
      <c r="D390" s="6"/>
      <c r="E390" s="7"/>
      <c r="F390" s="7"/>
      <c r="G390" s="7"/>
      <c r="H390" s="8"/>
      <c r="I390" s="9"/>
      <c r="J390" s="9"/>
      <c r="K390" s="9"/>
      <c r="L390" s="9"/>
      <c r="M390" s="9"/>
      <c r="N390" s="10">
        <f t="shared" si="2"/>
        <v>0</v>
      </c>
      <c r="O390" s="10">
        <f t="shared" si="3"/>
        <v>0</v>
      </c>
    </row>
    <row r="391">
      <c r="A391" s="3" t="s">
        <v>44</v>
      </c>
      <c r="B391" s="4">
        <v>15.0</v>
      </c>
      <c r="C391" s="5" t="str">
        <f t="shared" si="1"/>
        <v>0 days 0 hours 0 minutes</v>
      </c>
      <c r="D391" s="6"/>
      <c r="E391" s="7"/>
      <c r="F391" s="7"/>
      <c r="G391" s="7"/>
      <c r="H391" s="8"/>
      <c r="I391" s="9"/>
      <c r="J391" s="9"/>
      <c r="K391" s="9"/>
      <c r="L391" s="9"/>
      <c r="M391" s="9"/>
      <c r="N391" s="10">
        <f t="shared" si="2"/>
        <v>0</v>
      </c>
      <c r="O391" s="10">
        <f t="shared" si="3"/>
        <v>0</v>
      </c>
    </row>
    <row r="392">
      <c r="A392" s="3" t="s">
        <v>44</v>
      </c>
      <c r="B392" s="4">
        <v>16.0</v>
      </c>
      <c r="C392" s="5" t="str">
        <f t="shared" si="1"/>
        <v>0 days 0 hours 0 minutes</v>
      </c>
      <c r="D392" s="6"/>
      <c r="E392" s="7"/>
      <c r="F392" s="7"/>
      <c r="G392" s="7"/>
      <c r="H392" s="8"/>
      <c r="I392" s="9"/>
      <c r="J392" s="9"/>
      <c r="K392" s="9"/>
      <c r="L392" s="9"/>
      <c r="M392" s="9"/>
      <c r="N392" s="10">
        <f t="shared" si="2"/>
        <v>0</v>
      </c>
      <c r="O392" s="10">
        <f t="shared" si="3"/>
        <v>0</v>
      </c>
    </row>
    <row r="393">
      <c r="A393" s="3" t="s">
        <v>44</v>
      </c>
      <c r="B393" s="4">
        <v>17.0</v>
      </c>
      <c r="C393" s="5" t="str">
        <f t="shared" si="1"/>
        <v>0 days 0 hours 0 minutes</v>
      </c>
      <c r="D393" s="6"/>
      <c r="E393" s="7"/>
      <c r="F393" s="7"/>
      <c r="G393" s="7"/>
      <c r="H393" s="8"/>
      <c r="I393" s="9"/>
      <c r="J393" s="9"/>
      <c r="K393" s="9"/>
      <c r="L393" s="9"/>
      <c r="M393" s="9"/>
      <c r="N393" s="10">
        <f t="shared" si="2"/>
        <v>0</v>
      </c>
      <c r="O393" s="10">
        <f t="shared" si="3"/>
        <v>0</v>
      </c>
    </row>
    <row r="394">
      <c r="A394" s="3" t="s">
        <v>44</v>
      </c>
      <c r="B394" s="4">
        <v>18.0</v>
      </c>
      <c r="C394" s="5" t="str">
        <f t="shared" si="1"/>
        <v>0 days 0 hours 0 minutes</v>
      </c>
      <c r="D394" s="6"/>
      <c r="E394" s="7"/>
      <c r="F394" s="7"/>
      <c r="G394" s="7"/>
      <c r="H394" s="8"/>
      <c r="I394" s="9"/>
      <c r="J394" s="9"/>
      <c r="K394" s="9"/>
      <c r="L394" s="9"/>
      <c r="M394" s="9"/>
      <c r="N394" s="10">
        <f t="shared" si="2"/>
        <v>0</v>
      </c>
      <c r="O394" s="10">
        <f t="shared" si="3"/>
        <v>0</v>
      </c>
    </row>
    <row r="395">
      <c r="A395" s="3" t="s">
        <v>44</v>
      </c>
      <c r="B395" s="4">
        <v>19.0</v>
      </c>
      <c r="C395" s="5" t="str">
        <f t="shared" si="1"/>
        <v>0 days 0 hours 0 minutes</v>
      </c>
      <c r="D395" s="6"/>
      <c r="E395" s="7"/>
      <c r="F395" s="7"/>
      <c r="G395" s="7"/>
      <c r="H395" s="8"/>
      <c r="I395" s="9"/>
      <c r="J395" s="9"/>
      <c r="K395" s="9"/>
      <c r="L395" s="9"/>
      <c r="M395" s="9"/>
      <c r="N395" s="10">
        <f t="shared" si="2"/>
        <v>0</v>
      </c>
      <c r="O395" s="10">
        <f t="shared" si="3"/>
        <v>0</v>
      </c>
    </row>
    <row r="396">
      <c r="A396" s="3" t="s">
        <v>44</v>
      </c>
      <c r="B396" s="4">
        <v>20.0</v>
      </c>
      <c r="C396" s="5" t="str">
        <f t="shared" si="1"/>
        <v>0 days 0 hours 0 minutes</v>
      </c>
      <c r="D396" s="6"/>
      <c r="E396" s="7"/>
      <c r="F396" s="7"/>
      <c r="G396" s="7"/>
      <c r="H396" s="8"/>
      <c r="I396" s="9"/>
      <c r="J396" s="9"/>
      <c r="K396" s="9"/>
      <c r="L396" s="9"/>
      <c r="M396" s="9"/>
      <c r="N396" s="10">
        <f t="shared" si="2"/>
        <v>0</v>
      </c>
      <c r="O396" s="10">
        <f t="shared" si="3"/>
        <v>0</v>
      </c>
    </row>
    <row r="397">
      <c r="A397" s="3" t="s">
        <v>44</v>
      </c>
      <c r="B397" s="4">
        <v>21.0</v>
      </c>
      <c r="C397" s="5" t="str">
        <f t="shared" si="1"/>
        <v>0 days 0 hours 0 minutes</v>
      </c>
      <c r="D397" s="6"/>
      <c r="E397" s="7"/>
      <c r="F397" s="7"/>
      <c r="G397" s="7"/>
      <c r="H397" s="8"/>
      <c r="I397" s="9"/>
      <c r="J397" s="9"/>
      <c r="K397" s="9"/>
      <c r="L397" s="9"/>
      <c r="M397" s="9"/>
      <c r="N397" s="10">
        <f t="shared" si="2"/>
        <v>0</v>
      </c>
      <c r="O397" s="10">
        <f t="shared" si="3"/>
        <v>0</v>
      </c>
    </row>
    <row r="398">
      <c r="A398" s="3" t="s">
        <v>44</v>
      </c>
      <c r="B398" s="4">
        <v>22.0</v>
      </c>
      <c r="C398" s="5" t="str">
        <f t="shared" si="1"/>
        <v>0 days 0 hours 0 minutes</v>
      </c>
      <c r="D398" s="6"/>
      <c r="E398" s="7"/>
      <c r="F398" s="7"/>
      <c r="G398" s="7"/>
      <c r="H398" s="8"/>
      <c r="I398" s="9"/>
      <c r="J398" s="9"/>
      <c r="K398" s="9"/>
      <c r="L398" s="9"/>
      <c r="M398" s="9"/>
      <c r="N398" s="10">
        <f t="shared" si="2"/>
        <v>0</v>
      </c>
      <c r="O398" s="10">
        <f t="shared" si="3"/>
        <v>0</v>
      </c>
    </row>
    <row r="399">
      <c r="A399" s="3" t="s">
        <v>44</v>
      </c>
      <c r="B399" s="4">
        <v>23.0</v>
      </c>
      <c r="C399" s="5" t="str">
        <f t="shared" si="1"/>
        <v>0 days 0 hours 0 minutes</v>
      </c>
      <c r="D399" s="12"/>
      <c r="E399" s="11"/>
      <c r="F399" s="11"/>
      <c r="G399" s="11"/>
      <c r="H399" s="13"/>
      <c r="I399" s="14"/>
      <c r="J399" s="14"/>
      <c r="K399" s="14"/>
      <c r="L399" s="14"/>
      <c r="M399" s="14"/>
      <c r="N399" s="10">
        <f t="shared" si="2"/>
        <v>0</v>
      </c>
      <c r="O399" s="10">
        <f t="shared" si="3"/>
        <v>0</v>
      </c>
    </row>
    <row r="400">
      <c r="A400" s="3" t="s">
        <v>44</v>
      </c>
      <c r="B400" s="4">
        <v>24.0</v>
      </c>
      <c r="C400" s="5" t="str">
        <f t="shared" si="1"/>
        <v>0 days 0 hours 0 minutes</v>
      </c>
      <c r="D400" s="12"/>
      <c r="E400" s="7"/>
      <c r="F400" s="7"/>
      <c r="G400" s="7"/>
      <c r="H400" s="8"/>
      <c r="I400" s="9"/>
      <c r="J400" s="9"/>
      <c r="K400" s="9"/>
      <c r="L400" s="9"/>
      <c r="M400" s="9"/>
      <c r="N400" s="10">
        <f t="shared" si="2"/>
        <v>0</v>
      </c>
      <c r="O400" s="10">
        <f t="shared" si="3"/>
        <v>0</v>
      </c>
    </row>
    <row r="401">
      <c r="A401" s="3" t="s">
        <v>44</v>
      </c>
      <c r="B401" s="4">
        <v>25.0</v>
      </c>
      <c r="C401" s="5" t="str">
        <f t="shared" si="1"/>
        <v>0 days 0 hours 0 minutes</v>
      </c>
      <c r="D401" s="6"/>
      <c r="E401" s="7"/>
      <c r="F401" s="7"/>
      <c r="G401" s="7"/>
      <c r="H401" s="8"/>
      <c r="I401" s="9"/>
      <c r="J401" s="9"/>
      <c r="K401" s="9"/>
      <c r="L401" s="9"/>
      <c r="M401" s="9"/>
      <c r="N401" s="10">
        <f t="shared" si="2"/>
        <v>0</v>
      </c>
      <c r="O401" s="10">
        <f t="shared" si="3"/>
        <v>0</v>
      </c>
    </row>
    <row r="402">
      <c r="A402" s="18" t="s">
        <v>45</v>
      </c>
      <c r="B402" s="19">
        <v>1.0</v>
      </c>
      <c r="C402" s="20" t="str">
        <f t="shared" si="1"/>
        <v>0 days 0 hours 0 minutes</v>
      </c>
      <c r="D402" s="21"/>
      <c r="E402" s="22"/>
      <c r="F402" s="22"/>
      <c r="G402" s="22"/>
      <c r="H402" s="23"/>
      <c r="I402" s="24"/>
      <c r="J402" s="24"/>
      <c r="K402" s="24"/>
      <c r="L402" s="24"/>
      <c r="M402" s="24"/>
      <c r="N402" s="25">
        <f t="shared" si="2"/>
        <v>0</v>
      </c>
      <c r="O402" s="25">
        <f t="shared" si="3"/>
        <v>0</v>
      </c>
    </row>
    <row r="403">
      <c r="A403" s="3" t="s">
        <v>45</v>
      </c>
      <c r="B403" s="4">
        <v>2.0</v>
      </c>
      <c r="C403" s="5" t="str">
        <f t="shared" si="1"/>
        <v>0 days 0 hours 0 minutes</v>
      </c>
      <c r="D403" s="6"/>
      <c r="E403" s="7"/>
      <c r="F403" s="7"/>
      <c r="G403" s="7"/>
      <c r="H403" s="8"/>
      <c r="I403" s="9"/>
      <c r="J403" s="9"/>
      <c r="K403" s="9"/>
      <c r="L403" s="9"/>
      <c r="M403" s="9"/>
      <c r="N403" s="10">
        <f t="shared" si="2"/>
        <v>0</v>
      </c>
      <c r="O403" s="10">
        <f t="shared" si="3"/>
        <v>0</v>
      </c>
    </row>
    <row r="404">
      <c r="A404" s="3" t="s">
        <v>45</v>
      </c>
      <c r="B404" s="4">
        <v>3.0</v>
      </c>
      <c r="C404" s="5" t="str">
        <f t="shared" si="1"/>
        <v>0 days 0 hours 0 minutes</v>
      </c>
      <c r="D404" s="6"/>
      <c r="E404" s="7"/>
      <c r="F404" s="7"/>
      <c r="G404" s="7"/>
      <c r="H404" s="8"/>
      <c r="I404" s="9"/>
      <c r="J404" s="9"/>
      <c r="K404" s="9"/>
      <c r="L404" s="9"/>
      <c r="M404" s="9"/>
      <c r="N404" s="10">
        <f t="shared" si="2"/>
        <v>0</v>
      </c>
      <c r="O404" s="10">
        <f t="shared" si="3"/>
        <v>0</v>
      </c>
    </row>
    <row r="405">
      <c r="A405" s="3" t="s">
        <v>45</v>
      </c>
      <c r="B405" s="4">
        <v>4.0</v>
      </c>
      <c r="C405" s="5" t="str">
        <f t="shared" si="1"/>
        <v>0 days 0 hours 16 minutes</v>
      </c>
      <c r="D405" s="12">
        <v>0.34</v>
      </c>
      <c r="E405" s="11">
        <v>0.0</v>
      </c>
      <c r="F405" s="11">
        <v>0.0</v>
      </c>
      <c r="G405" s="11">
        <v>12.0</v>
      </c>
      <c r="H405" s="13">
        <v>27.0</v>
      </c>
      <c r="I405" s="14">
        <v>1000.0</v>
      </c>
      <c r="J405" s="14">
        <v>2000.0</v>
      </c>
      <c r="K405" s="14">
        <v>0.0</v>
      </c>
      <c r="L405" s="14">
        <v>0.0</v>
      </c>
      <c r="M405" s="14"/>
      <c r="N405" s="10">
        <f t="shared" si="2"/>
        <v>747</v>
      </c>
      <c r="O405" s="10">
        <f t="shared" si="3"/>
        <v>1001</v>
      </c>
    </row>
    <row r="406">
      <c r="A406" s="3" t="s">
        <v>45</v>
      </c>
      <c r="B406" s="4">
        <v>5.0</v>
      </c>
      <c r="C406" s="5" t="str">
        <f t="shared" si="1"/>
        <v>0 days 0 hours 0 minutes</v>
      </c>
      <c r="D406" s="6"/>
      <c r="E406" s="7"/>
      <c r="F406" s="7"/>
      <c r="G406" s="7"/>
      <c r="H406" s="8"/>
      <c r="I406" s="9"/>
      <c r="J406" s="9"/>
      <c r="K406" s="9"/>
      <c r="L406" s="9"/>
      <c r="M406" s="9"/>
      <c r="N406" s="10">
        <f t="shared" si="2"/>
        <v>0</v>
      </c>
      <c r="O406" s="10">
        <f t="shared" si="3"/>
        <v>0</v>
      </c>
    </row>
    <row r="407">
      <c r="A407" s="3" t="s">
        <v>45</v>
      </c>
      <c r="B407" s="4">
        <v>6.0</v>
      </c>
      <c r="C407" s="5" t="str">
        <f t="shared" si="1"/>
        <v>0 days 0 hours 0 minutes</v>
      </c>
      <c r="D407" s="6"/>
      <c r="E407" s="7"/>
      <c r="F407" s="7"/>
      <c r="G407" s="7"/>
      <c r="H407" s="8"/>
      <c r="I407" s="9"/>
      <c r="J407" s="9"/>
      <c r="K407" s="9"/>
      <c r="L407" s="9"/>
      <c r="M407" s="9"/>
      <c r="N407" s="10">
        <f t="shared" si="2"/>
        <v>0</v>
      </c>
      <c r="O407" s="10">
        <f t="shared" si="3"/>
        <v>0</v>
      </c>
    </row>
    <row r="408">
      <c r="A408" s="3" t="s">
        <v>45</v>
      </c>
      <c r="B408" s="4">
        <v>7.0</v>
      </c>
      <c r="C408" s="5" t="str">
        <f t="shared" si="1"/>
        <v>0 days 0 hours 0 minutes</v>
      </c>
      <c r="D408" s="6"/>
      <c r="E408" s="7"/>
      <c r="F408" s="7"/>
      <c r="G408" s="7"/>
      <c r="H408" s="8"/>
      <c r="I408" s="9"/>
      <c r="J408" s="9"/>
      <c r="K408" s="9"/>
      <c r="L408" s="9"/>
      <c r="M408" s="9"/>
      <c r="N408" s="10">
        <f t="shared" si="2"/>
        <v>0</v>
      </c>
      <c r="O408" s="10">
        <f t="shared" si="3"/>
        <v>0</v>
      </c>
    </row>
    <row r="409">
      <c r="A409" s="3" t="s">
        <v>45</v>
      </c>
      <c r="B409" s="4">
        <v>8.0</v>
      </c>
      <c r="C409" s="5" t="str">
        <f t="shared" si="1"/>
        <v>0 days 0 hours 0 minutes</v>
      </c>
      <c r="D409" s="6"/>
      <c r="E409" s="7"/>
      <c r="F409" s="7"/>
      <c r="G409" s="7"/>
      <c r="H409" s="8"/>
      <c r="I409" s="9"/>
      <c r="J409" s="9"/>
      <c r="K409" s="9"/>
      <c r="L409" s="9"/>
      <c r="M409" s="9"/>
      <c r="N409" s="10">
        <f t="shared" si="2"/>
        <v>0</v>
      </c>
      <c r="O409" s="10">
        <f t="shared" si="3"/>
        <v>0</v>
      </c>
    </row>
    <row r="410">
      <c r="A410" s="3" t="s">
        <v>45</v>
      </c>
      <c r="B410" s="4">
        <v>9.0</v>
      </c>
      <c r="C410" s="5" t="str">
        <f t="shared" si="1"/>
        <v>0 days 0 hours 0 minutes</v>
      </c>
      <c r="D410" s="6"/>
      <c r="E410" s="7"/>
      <c r="F410" s="7"/>
      <c r="G410" s="7"/>
      <c r="H410" s="8"/>
      <c r="I410" s="9"/>
      <c r="J410" s="9"/>
      <c r="K410" s="9"/>
      <c r="L410" s="9"/>
      <c r="M410" s="9"/>
      <c r="N410" s="10">
        <f t="shared" si="2"/>
        <v>0</v>
      </c>
      <c r="O410" s="10">
        <f t="shared" si="3"/>
        <v>0</v>
      </c>
    </row>
    <row r="411">
      <c r="A411" s="3" t="s">
        <v>45</v>
      </c>
      <c r="B411" s="4">
        <v>10.0</v>
      </c>
      <c r="C411" s="5" t="str">
        <f t="shared" si="1"/>
        <v>0 days 0 hours 0 minutes</v>
      </c>
      <c r="D411" s="6"/>
      <c r="E411" s="7"/>
      <c r="F411" s="7"/>
      <c r="G411" s="7"/>
      <c r="H411" s="8"/>
      <c r="I411" s="9"/>
      <c r="J411" s="9"/>
      <c r="K411" s="9"/>
      <c r="L411" s="9"/>
      <c r="M411" s="9"/>
      <c r="N411" s="10">
        <f t="shared" si="2"/>
        <v>0</v>
      </c>
      <c r="O411" s="10">
        <f t="shared" si="3"/>
        <v>0</v>
      </c>
    </row>
    <row r="412">
      <c r="A412" s="3" t="s">
        <v>45</v>
      </c>
      <c r="B412" s="4">
        <v>11.0</v>
      </c>
      <c r="C412" s="5" t="str">
        <f t="shared" si="1"/>
        <v>0 days 0 hours 0 minutes</v>
      </c>
      <c r="D412" s="6"/>
      <c r="E412" s="7"/>
      <c r="F412" s="7"/>
      <c r="G412" s="7"/>
      <c r="H412" s="8"/>
      <c r="I412" s="9"/>
      <c r="J412" s="9"/>
      <c r="K412" s="9"/>
      <c r="L412" s="9"/>
      <c r="M412" s="9"/>
      <c r="N412" s="10">
        <f t="shared" si="2"/>
        <v>0</v>
      </c>
      <c r="O412" s="10">
        <f t="shared" si="3"/>
        <v>0</v>
      </c>
    </row>
    <row r="413">
      <c r="A413" s="3" t="s">
        <v>45</v>
      </c>
      <c r="B413" s="4">
        <v>12.0</v>
      </c>
      <c r="C413" s="5" t="str">
        <f t="shared" si="1"/>
        <v>0 days 0 hours 0 minutes</v>
      </c>
      <c r="D413" s="6"/>
      <c r="E413" s="7"/>
      <c r="F413" s="7"/>
      <c r="G413" s="7"/>
      <c r="H413" s="8"/>
      <c r="I413" s="9"/>
      <c r="J413" s="9"/>
      <c r="K413" s="9"/>
      <c r="L413" s="9"/>
      <c r="M413" s="9"/>
      <c r="N413" s="10">
        <f t="shared" si="2"/>
        <v>0</v>
      </c>
      <c r="O413" s="10">
        <f t="shared" si="3"/>
        <v>0</v>
      </c>
    </row>
    <row r="414">
      <c r="A414" s="3" t="s">
        <v>45</v>
      </c>
      <c r="B414" s="4">
        <v>13.0</v>
      </c>
      <c r="C414" s="5" t="str">
        <f t="shared" si="1"/>
        <v>0 days 0 hours 0 minutes</v>
      </c>
      <c r="D414" s="6"/>
      <c r="E414" s="7"/>
      <c r="F414" s="7"/>
      <c r="G414" s="7"/>
      <c r="H414" s="8"/>
      <c r="I414" s="9"/>
      <c r="J414" s="9"/>
      <c r="K414" s="9"/>
      <c r="L414" s="9"/>
      <c r="M414" s="9"/>
      <c r="N414" s="10">
        <f t="shared" si="2"/>
        <v>0</v>
      </c>
      <c r="O414" s="10">
        <f t="shared" si="3"/>
        <v>0</v>
      </c>
    </row>
    <row r="415">
      <c r="A415" s="3" t="s">
        <v>45</v>
      </c>
      <c r="B415" s="4">
        <v>14.0</v>
      </c>
      <c r="C415" s="5" t="str">
        <f t="shared" si="1"/>
        <v>0 days 0 hours 0 minutes</v>
      </c>
      <c r="D415" s="6"/>
      <c r="E415" s="7"/>
      <c r="F415" s="7"/>
      <c r="G415" s="7"/>
      <c r="H415" s="8"/>
      <c r="I415" s="9"/>
      <c r="J415" s="9"/>
      <c r="K415" s="9"/>
      <c r="L415" s="9"/>
      <c r="M415" s="9"/>
      <c r="N415" s="10">
        <f t="shared" si="2"/>
        <v>0</v>
      </c>
      <c r="O415" s="10">
        <f t="shared" si="3"/>
        <v>0</v>
      </c>
    </row>
    <row r="416">
      <c r="A416" s="3" t="s">
        <v>45</v>
      </c>
      <c r="B416" s="4">
        <v>15.0</v>
      </c>
      <c r="C416" s="5" t="str">
        <f t="shared" si="1"/>
        <v>1 days 11 hours 23 minutes</v>
      </c>
      <c r="D416" s="12">
        <v>0.85</v>
      </c>
      <c r="E416" s="11">
        <v>0.0</v>
      </c>
      <c r="F416" s="11">
        <v>19.0</v>
      </c>
      <c r="G416" s="11">
        <v>7.0</v>
      </c>
      <c r="H416" s="13">
        <v>45.0</v>
      </c>
      <c r="I416" s="14">
        <v>209000.0</v>
      </c>
      <c r="J416" s="14">
        <v>209000.0</v>
      </c>
      <c r="K416" s="14">
        <v>110500.0</v>
      </c>
      <c r="L416" s="14">
        <v>14500.0</v>
      </c>
      <c r="M416" s="14"/>
      <c r="N416" s="10">
        <f t="shared" si="2"/>
        <v>68865</v>
      </c>
      <c r="O416" s="10">
        <f t="shared" si="3"/>
        <v>127401</v>
      </c>
    </row>
    <row r="417">
      <c r="A417" s="3" t="s">
        <v>45</v>
      </c>
      <c r="B417" s="4">
        <v>16.0</v>
      </c>
      <c r="C417" s="5" t="str">
        <f t="shared" si="1"/>
        <v>0 days 0 hours 0 minutes</v>
      </c>
      <c r="D417" s="6"/>
      <c r="E417" s="7"/>
      <c r="F417" s="7"/>
      <c r="G417" s="7"/>
      <c r="H417" s="8"/>
      <c r="I417" s="9"/>
      <c r="J417" s="9"/>
      <c r="K417" s="9"/>
      <c r="L417" s="9"/>
      <c r="M417" s="9"/>
      <c r="N417" s="10">
        <f t="shared" si="2"/>
        <v>0</v>
      </c>
      <c r="O417" s="10">
        <f t="shared" si="3"/>
        <v>0</v>
      </c>
    </row>
    <row r="418">
      <c r="A418" s="3" t="s">
        <v>45</v>
      </c>
      <c r="B418" s="4">
        <v>17.0</v>
      </c>
      <c r="C418" s="5" t="str">
        <f t="shared" si="1"/>
        <v>0 days 0 hours 0 minutes</v>
      </c>
      <c r="D418" s="6"/>
      <c r="E418" s="7"/>
      <c r="F418" s="7"/>
      <c r="G418" s="7"/>
      <c r="H418" s="8"/>
      <c r="I418" s="9"/>
      <c r="J418" s="9"/>
      <c r="K418" s="9"/>
      <c r="L418" s="9"/>
      <c r="M418" s="9"/>
      <c r="N418" s="10">
        <f t="shared" si="2"/>
        <v>0</v>
      </c>
      <c r="O418" s="10">
        <f t="shared" si="3"/>
        <v>0</v>
      </c>
    </row>
    <row r="419">
      <c r="A419" s="3" t="s">
        <v>45</v>
      </c>
      <c r="B419" s="4">
        <v>18.0</v>
      </c>
      <c r="C419" s="5" t="str">
        <f t="shared" si="1"/>
        <v>2 days 13 hours 9 minutes</v>
      </c>
      <c r="D419" s="12">
        <v>0.71</v>
      </c>
      <c r="E419" s="11">
        <v>1.0</v>
      </c>
      <c r="F419" s="11">
        <v>11.0</v>
      </c>
      <c r="G419" s="11">
        <v>45.0</v>
      </c>
      <c r="H419" s="13">
        <v>41.0</v>
      </c>
      <c r="I419" s="14">
        <v>731000.0</v>
      </c>
      <c r="J419" s="14">
        <v>731000.0</v>
      </c>
      <c r="K419" s="14">
        <v>387000.0</v>
      </c>
      <c r="L419" s="14">
        <v>52000.0</v>
      </c>
      <c r="M419" s="14"/>
      <c r="N419" s="10">
        <f t="shared" si="2"/>
        <v>128741</v>
      </c>
      <c r="O419" s="10">
        <f t="shared" si="3"/>
        <v>220148</v>
      </c>
    </row>
    <row r="420">
      <c r="A420" s="3" t="s">
        <v>45</v>
      </c>
      <c r="B420" s="4">
        <v>19.0</v>
      </c>
      <c r="C420" s="5" t="str">
        <f t="shared" si="1"/>
        <v>0 days 0 hours 0 minutes</v>
      </c>
      <c r="D420" s="6"/>
      <c r="E420" s="7"/>
      <c r="F420" s="7"/>
      <c r="G420" s="7"/>
      <c r="H420" s="8"/>
      <c r="I420" s="9"/>
      <c r="J420" s="9"/>
      <c r="K420" s="9"/>
      <c r="L420" s="9"/>
      <c r="M420" s="9"/>
      <c r="N420" s="10">
        <f t="shared" si="2"/>
        <v>0</v>
      </c>
      <c r="O420" s="10">
        <f t="shared" si="3"/>
        <v>0</v>
      </c>
    </row>
    <row r="421">
      <c r="A421" s="3" t="s">
        <v>45</v>
      </c>
      <c r="B421" s="4">
        <v>20.0</v>
      </c>
      <c r="C421" s="5" t="str">
        <f t="shared" si="1"/>
        <v>0 days 0 hours 0 minutes</v>
      </c>
      <c r="D421" s="6"/>
      <c r="E421" s="7"/>
      <c r="F421" s="7"/>
      <c r="G421" s="7"/>
      <c r="H421" s="8"/>
      <c r="I421" s="9"/>
      <c r="J421" s="9"/>
      <c r="K421" s="9"/>
      <c r="L421" s="9"/>
      <c r="M421" s="9"/>
      <c r="N421" s="10">
        <f t="shared" si="2"/>
        <v>0</v>
      </c>
      <c r="O421" s="10">
        <f t="shared" si="3"/>
        <v>0</v>
      </c>
    </row>
    <row r="422">
      <c r="A422" s="3" t="s">
        <v>45</v>
      </c>
      <c r="B422" s="4">
        <v>21.0</v>
      </c>
      <c r="C422" s="5" t="str">
        <f t="shared" si="1"/>
        <v>0 days 0 hours 0 minutes</v>
      </c>
      <c r="D422" s="6"/>
      <c r="E422" s="7"/>
      <c r="F422" s="7"/>
      <c r="G422" s="7"/>
      <c r="H422" s="8"/>
      <c r="I422" s="9"/>
      <c r="J422" s="9"/>
      <c r="K422" s="9"/>
      <c r="L422" s="9"/>
      <c r="M422" s="9"/>
      <c r="N422" s="10">
        <f t="shared" si="2"/>
        <v>0</v>
      </c>
      <c r="O422" s="10">
        <f t="shared" si="3"/>
        <v>0</v>
      </c>
    </row>
    <row r="423">
      <c r="A423" s="3" t="s">
        <v>45</v>
      </c>
      <c r="B423" s="4">
        <v>22.0</v>
      </c>
      <c r="C423" s="5" t="str">
        <f t="shared" si="1"/>
        <v>0 days 0 hours 0 minutes</v>
      </c>
      <c r="D423" s="6"/>
      <c r="E423" s="7"/>
      <c r="F423" s="7"/>
      <c r="G423" s="7"/>
      <c r="H423" s="8"/>
      <c r="I423" s="9"/>
      <c r="J423" s="9"/>
      <c r="K423" s="9"/>
      <c r="L423" s="9"/>
      <c r="M423" s="9"/>
      <c r="N423" s="10">
        <f t="shared" si="2"/>
        <v>0</v>
      </c>
      <c r="O423" s="10">
        <f t="shared" si="3"/>
        <v>0</v>
      </c>
    </row>
    <row r="424">
      <c r="A424" s="3" t="s">
        <v>45</v>
      </c>
      <c r="B424" s="4">
        <v>23.0</v>
      </c>
      <c r="C424" s="5" t="str">
        <f t="shared" si="1"/>
        <v>0 days 0 hours 0 minutes</v>
      </c>
      <c r="D424" s="12"/>
      <c r="E424" s="11"/>
      <c r="F424" s="11"/>
      <c r="G424" s="11"/>
      <c r="H424" s="13"/>
      <c r="I424" s="14"/>
      <c r="J424" s="14"/>
      <c r="K424" s="14"/>
      <c r="L424" s="14"/>
      <c r="M424" s="14"/>
      <c r="N424" s="10">
        <f t="shared" si="2"/>
        <v>0</v>
      </c>
      <c r="O424" s="10">
        <f t="shared" si="3"/>
        <v>0</v>
      </c>
    </row>
    <row r="425">
      <c r="A425" s="3" t="s">
        <v>45</v>
      </c>
      <c r="B425" s="4">
        <v>24.0</v>
      </c>
      <c r="C425" s="5" t="str">
        <f t="shared" si="1"/>
        <v>0 days 0 hours 0 minutes</v>
      </c>
      <c r="D425" s="12"/>
      <c r="E425" s="7"/>
      <c r="F425" s="7"/>
      <c r="G425" s="7"/>
      <c r="H425" s="8"/>
      <c r="I425" s="9"/>
      <c r="J425" s="9"/>
      <c r="K425" s="9"/>
      <c r="L425" s="9"/>
      <c r="M425" s="9"/>
      <c r="N425" s="10">
        <f t="shared" si="2"/>
        <v>0</v>
      </c>
      <c r="O425" s="10">
        <f t="shared" si="3"/>
        <v>0</v>
      </c>
    </row>
    <row r="426">
      <c r="A426" s="3" t="s">
        <v>45</v>
      </c>
      <c r="B426" s="4">
        <v>25.0</v>
      </c>
      <c r="C426" s="5" t="str">
        <f t="shared" si="1"/>
        <v>0 days 0 hours 0 minutes</v>
      </c>
      <c r="D426" s="6"/>
      <c r="E426" s="7"/>
      <c r="F426" s="7"/>
      <c r="G426" s="7"/>
      <c r="H426" s="8"/>
      <c r="I426" s="9"/>
      <c r="J426" s="9"/>
      <c r="K426" s="9"/>
      <c r="L426" s="9"/>
      <c r="M426" s="9"/>
      <c r="N426" s="10">
        <f t="shared" si="2"/>
        <v>0</v>
      </c>
      <c r="O426" s="10">
        <f t="shared" si="3"/>
        <v>0</v>
      </c>
    </row>
    <row r="427">
      <c r="A427" s="18" t="s">
        <v>46</v>
      </c>
      <c r="B427" s="19">
        <v>1.0</v>
      </c>
      <c r="C427" s="20" t="str">
        <f t="shared" si="1"/>
        <v>0 days 0 hours 0 minutes</v>
      </c>
      <c r="D427" s="21"/>
      <c r="E427" s="22"/>
      <c r="F427" s="22"/>
      <c r="G427" s="22"/>
      <c r="H427" s="23"/>
      <c r="I427" s="24"/>
      <c r="J427" s="24"/>
      <c r="K427" s="24"/>
      <c r="L427" s="24"/>
      <c r="M427" s="24"/>
      <c r="N427" s="25">
        <f t="shared" si="2"/>
        <v>0</v>
      </c>
      <c r="O427" s="25">
        <f t="shared" si="3"/>
        <v>0</v>
      </c>
    </row>
    <row r="428">
      <c r="A428" s="3" t="s">
        <v>46</v>
      </c>
      <c r="B428" s="4">
        <v>2.0</v>
      </c>
      <c r="C428" s="5" t="str">
        <f t="shared" si="1"/>
        <v>0 days 0 hours 0 minutes</v>
      </c>
      <c r="D428" s="6"/>
      <c r="E428" s="7"/>
      <c r="F428" s="7"/>
      <c r="G428" s="7"/>
      <c r="H428" s="8"/>
      <c r="I428" s="9"/>
      <c r="J428" s="9"/>
      <c r="K428" s="9"/>
      <c r="L428" s="9"/>
      <c r="M428" s="9"/>
      <c r="N428" s="10">
        <f t="shared" si="2"/>
        <v>0</v>
      </c>
      <c r="O428" s="10">
        <f t="shared" si="3"/>
        <v>0</v>
      </c>
    </row>
    <row r="429">
      <c r="A429" s="3" t="s">
        <v>46</v>
      </c>
      <c r="B429" s="4">
        <v>3.0</v>
      </c>
      <c r="C429" s="5" t="str">
        <f t="shared" si="1"/>
        <v>0 days 0 hours 0 minutes</v>
      </c>
      <c r="D429" s="6"/>
      <c r="E429" s="7"/>
      <c r="F429" s="7"/>
      <c r="G429" s="7"/>
      <c r="H429" s="8"/>
      <c r="I429" s="9"/>
      <c r="J429" s="9"/>
      <c r="K429" s="9"/>
      <c r="L429" s="9"/>
      <c r="M429" s="9"/>
      <c r="N429" s="10">
        <f t="shared" si="2"/>
        <v>0</v>
      </c>
      <c r="O429" s="10">
        <f t="shared" si="3"/>
        <v>0</v>
      </c>
    </row>
    <row r="430">
      <c r="A430" s="3" t="s">
        <v>46</v>
      </c>
      <c r="B430" s="4">
        <v>4.0</v>
      </c>
      <c r="C430" s="5" t="str">
        <f t="shared" si="1"/>
        <v>0 days 0 hours 0 minutes</v>
      </c>
      <c r="D430" s="6"/>
      <c r="E430" s="7"/>
      <c r="F430" s="7"/>
      <c r="G430" s="7"/>
      <c r="H430" s="8"/>
      <c r="I430" s="9"/>
      <c r="J430" s="9"/>
      <c r="K430" s="9"/>
      <c r="L430" s="9"/>
      <c r="M430" s="9"/>
      <c r="N430" s="10">
        <f t="shared" si="2"/>
        <v>0</v>
      </c>
      <c r="O430" s="10">
        <f t="shared" si="3"/>
        <v>0</v>
      </c>
    </row>
    <row r="431">
      <c r="A431" s="3" t="s">
        <v>46</v>
      </c>
      <c r="B431" s="4">
        <v>5.0</v>
      </c>
      <c r="C431" s="5" t="str">
        <f t="shared" si="1"/>
        <v>0 days 0 hours 15 minutes</v>
      </c>
      <c r="D431" s="12">
        <v>0.34</v>
      </c>
      <c r="E431" s="11">
        <v>0.0</v>
      </c>
      <c r="F431" s="11">
        <v>0.0</v>
      </c>
      <c r="G431" s="11">
        <v>11.0</v>
      </c>
      <c r="H431" s="13">
        <v>12.0</v>
      </c>
      <c r="I431" s="14">
        <v>5000.0</v>
      </c>
      <c r="J431" s="14">
        <v>5000.0</v>
      </c>
      <c r="K431" s="14">
        <v>0.0</v>
      </c>
      <c r="L431" s="14">
        <v>0.0</v>
      </c>
      <c r="M431" s="14"/>
      <c r="N431" s="10">
        <f t="shared" si="2"/>
        <v>672</v>
      </c>
      <c r="O431" s="10">
        <f t="shared" si="3"/>
        <v>901</v>
      </c>
    </row>
    <row r="432">
      <c r="A432" s="3" t="s">
        <v>46</v>
      </c>
      <c r="B432" s="4">
        <v>6.0</v>
      </c>
      <c r="C432" s="5" t="str">
        <f t="shared" si="1"/>
        <v>0 days 0 hours 0 minutes</v>
      </c>
      <c r="D432" s="6"/>
      <c r="E432" s="7"/>
      <c r="F432" s="7"/>
      <c r="G432" s="7"/>
      <c r="H432" s="8"/>
      <c r="I432" s="9"/>
      <c r="J432" s="9"/>
      <c r="K432" s="9"/>
      <c r="L432" s="9"/>
      <c r="M432" s="9"/>
      <c r="N432" s="10">
        <f t="shared" si="2"/>
        <v>0</v>
      </c>
      <c r="O432" s="10">
        <f t="shared" si="3"/>
        <v>0</v>
      </c>
    </row>
    <row r="433">
      <c r="A433" s="3" t="s">
        <v>46</v>
      </c>
      <c r="B433" s="4">
        <v>7.0</v>
      </c>
      <c r="C433" s="5" t="str">
        <f t="shared" si="1"/>
        <v>0 days 0 hours 0 minutes</v>
      </c>
      <c r="D433" s="6"/>
      <c r="E433" s="7"/>
      <c r="F433" s="7"/>
      <c r="G433" s="7"/>
      <c r="H433" s="8"/>
      <c r="I433" s="9"/>
      <c r="J433" s="9"/>
      <c r="K433" s="9"/>
      <c r="L433" s="9"/>
      <c r="M433" s="9"/>
      <c r="N433" s="10">
        <f t="shared" si="2"/>
        <v>0</v>
      </c>
      <c r="O433" s="10">
        <f t="shared" si="3"/>
        <v>0</v>
      </c>
    </row>
    <row r="434">
      <c r="A434" s="3" t="s">
        <v>46</v>
      </c>
      <c r="B434" s="4">
        <v>8.0</v>
      </c>
      <c r="C434" s="5" t="str">
        <f t="shared" si="1"/>
        <v>0 days 0 hours 0 minutes</v>
      </c>
      <c r="D434" s="6"/>
      <c r="E434" s="7"/>
      <c r="F434" s="7"/>
      <c r="G434" s="7"/>
      <c r="H434" s="8"/>
      <c r="I434" s="9"/>
      <c r="J434" s="9"/>
      <c r="K434" s="9"/>
      <c r="L434" s="9"/>
      <c r="M434" s="9"/>
      <c r="N434" s="10">
        <f t="shared" si="2"/>
        <v>0</v>
      </c>
      <c r="O434" s="10">
        <f t="shared" si="3"/>
        <v>0</v>
      </c>
    </row>
    <row r="435">
      <c r="A435" s="3" t="s">
        <v>46</v>
      </c>
      <c r="B435" s="4">
        <v>9.0</v>
      </c>
      <c r="C435" s="5" t="str">
        <f t="shared" si="1"/>
        <v>0 days 0 hours 0 minutes</v>
      </c>
      <c r="D435" s="6"/>
      <c r="E435" s="7"/>
      <c r="F435" s="7"/>
      <c r="G435" s="7"/>
      <c r="H435" s="8"/>
      <c r="I435" s="9"/>
      <c r="J435" s="9"/>
      <c r="K435" s="9"/>
      <c r="L435" s="9"/>
      <c r="M435" s="9"/>
      <c r="N435" s="10">
        <f t="shared" si="2"/>
        <v>0</v>
      </c>
      <c r="O435" s="10">
        <f t="shared" si="3"/>
        <v>0</v>
      </c>
    </row>
    <row r="436">
      <c r="A436" s="3" t="s">
        <v>46</v>
      </c>
      <c r="B436" s="4">
        <v>10.0</v>
      </c>
      <c r="C436" s="5" t="str">
        <f t="shared" si="1"/>
        <v>0 days 0 hours 0 minutes</v>
      </c>
      <c r="D436" s="6"/>
      <c r="E436" s="7"/>
      <c r="F436" s="7"/>
      <c r="G436" s="7"/>
      <c r="H436" s="8"/>
      <c r="I436" s="9"/>
      <c r="J436" s="9"/>
      <c r="K436" s="9"/>
      <c r="L436" s="9"/>
      <c r="M436" s="9"/>
      <c r="N436" s="10">
        <f t="shared" si="2"/>
        <v>0</v>
      </c>
      <c r="O436" s="10">
        <f t="shared" si="3"/>
        <v>0</v>
      </c>
    </row>
    <row r="437">
      <c r="A437" s="3" t="s">
        <v>46</v>
      </c>
      <c r="B437" s="4">
        <v>11.0</v>
      </c>
      <c r="C437" s="5" t="str">
        <f t="shared" si="1"/>
        <v>0 days 0 hours 0 minutes</v>
      </c>
      <c r="D437" s="6"/>
      <c r="E437" s="7"/>
      <c r="F437" s="7"/>
      <c r="G437" s="7"/>
      <c r="H437" s="8"/>
      <c r="I437" s="9"/>
      <c r="J437" s="9"/>
      <c r="K437" s="9"/>
      <c r="L437" s="9"/>
      <c r="M437" s="9"/>
      <c r="N437" s="10">
        <f t="shared" si="2"/>
        <v>0</v>
      </c>
      <c r="O437" s="10">
        <f t="shared" si="3"/>
        <v>0</v>
      </c>
    </row>
    <row r="438">
      <c r="A438" s="3" t="s">
        <v>46</v>
      </c>
      <c r="B438" s="4">
        <v>12.0</v>
      </c>
      <c r="C438" s="5" t="str">
        <f t="shared" si="1"/>
        <v>0 days 0 hours 0 minutes</v>
      </c>
      <c r="D438" s="6"/>
      <c r="E438" s="7"/>
      <c r="F438" s="7"/>
      <c r="G438" s="7"/>
      <c r="H438" s="8"/>
      <c r="I438" s="9"/>
      <c r="J438" s="9"/>
      <c r="K438" s="9"/>
      <c r="L438" s="9"/>
      <c r="M438" s="9"/>
      <c r="N438" s="10">
        <f t="shared" si="2"/>
        <v>0</v>
      </c>
      <c r="O438" s="10">
        <f t="shared" si="3"/>
        <v>0</v>
      </c>
    </row>
    <row r="439">
      <c r="A439" s="3" t="s">
        <v>46</v>
      </c>
      <c r="B439" s="4">
        <v>13.0</v>
      </c>
      <c r="C439" s="5" t="str">
        <f t="shared" si="1"/>
        <v>0 days 0 hours 0 minutes</v>
      </c>
      <c r="D439" s="6"/>
      <c r="E439" s="7"/>
      <c r="F439" s="7"/>
      <c r="G439" s="7"/>
      <c r="H439" s="8"/>
      <c r="I439" s="9"/>
      <c r="J439" s="9"/>
      <c r="K439" s="9"/>
      <c r="L439" s="9"/>
      <c r="M439" s="9"/>
      <c r="N439" s="10">
        <f t="shared" si="2"/>
        <v>0</v>
      </c>
      <c r="O439" s="10">
        <f t="shared" si="3"/>
        <v>0</v>
      </c>
    </row>
    <row r="440">
      <c r="A440" s="3" t="s">
        <v>46</v>
      </c>
      <c r="B440" s="4">
        <v>14.0</v>
      </c>
      <c r="C440" s="5" t="str">
        <f t="shared" si="1"/>
        <v>0 days 0 hours 0 minutes</v>
      </c>
      <c r="D440" s="6"/>
      <c r="E440" s="7"/>
      <c r="F440" s="7"/>
      <c r="G440" s="7"/>
      <c r="H440" s="8"/>
      <c r="I440" s="9"/>
      <c r="J440" s="9"/>
      <c r="K440" s="9"/>
      <c r="L440" s="9"/>
      <c r="M440" s="9"/>
      <c r="N440" s="10">
        <f t="shared" si="2"/>
        <v>0</v>
      </c>
      <c r="O440" s="10">
        <f t="shared" si="3"/>
        <v>0</v>
      </c>
    </row>
    <row r="441">
      <c r="A441" s="3" t="s">
        <v>46</v>
      </c>
      <c r="B441" s="4">
        <v>15.0</v>
      </c>
      <c r="C441" s="5" t="str">
        <f t="shared" si="1"/>
        <v>0 days 0 hours 0 minutes</v>
      </c>
      <c r="D441" s="6"/>
      <c r="E441" s="7"/>
      <c r="F441" s="7"/>
      <c r="G441" s="7"/>
      <c r="H441" s="8"/>
      <c r="I441" s="9"/>
      <c r="J441" s="9"/>
      <c r="K441" s="9"/>
      <c r="L441" s="9"/>
      <c r="M441" s="9"/>
      <c r="N441" s="10">
        <f t="shared" si="2"/>
        <v>0</v>
      </c>
      <c r="O441" s="10">
        <f t="shared" si="3"/>
        <v>0</v>
      </c>
    </row>
    <row r="442">
      <c r="A442" s="3" t="s">
        <v>46</v>
      </c>
      <c r="B442" s="4">
        <v>16.0</v>
      </c>
      <c r="C442" s="5" t="str">
        <f t="shared" si="1"/>
        <v>1 days 3 hours 52 minutes</v>
      </c>
      <c r="D442" s="12">
        <v>0.85</v>
      </c>
      <c r="E442" s="11">
        <v>0.0</v>
      </c>
      <c r="F442" s="11">
        <v>15.0</v>
      </c>
      <c r="G442" s="11">
        <v>3.0</v>
      </c>
      <c r="H442" s="13">
        <v>51.0</v>
      </c>
      <c r="I442" s="14">
        <v>403500.0</v>
      </c>
      <c r="J442" s="14">
        <v>403500.0</v>
      </c>
      <c r="K442" s="14">
        <v>213500.0</v>
      </c>
      <c r="L442" s="14">
        <v>28500.0</v>
      </c>
      <c r="M442" s="14"/>
      <c r="N442" s="10">
        <f t="shared" si="2"/>
        <v>54231</v>
      </c>
      <c r="O442" s="10">
        <f t="shared" si="3"/>
        <v>100328</v>
      </c>
    </row>
    <row r="443">
      <c r="A443" s="3" t="s">
        <v>46</v>
      </c>
      <c r="B443" s="4">
        <v>17.0</v>
      </c>
      <c r="C443" s="5" t="str">
        <f t="shared" si="1"/>
        <v>0 days 0 hours 0 minutes</v>
      </c>
      <c r="D443" s="6"/>
      <c r="E443" s="7"/>
      <c r="F443" s="7"/>
      <c r="G443" s="7"/>
      <c r="H443" s="8"/>
      <c r="I443" s="9"/>
      <c r="J443" s="9"/>
      <c r="K443" s="9"/>
      <c r="L443" s="9"/>
      <c r="M443" s="9"/>
      <c r="N443" s="10">
        <f t="shared" si="2"/>
        <v>0</v>
      </c>
      <c r="O443" s="10">
        <f t="shared" si="3"/>
        <v>0</v>
      </c>
    </row>
    <row r="444">
      <c r="A444" s="3" t="s">
        <v>46</v>
      </c>
      <c r="B444" s="4">
        <v>18.0</v>
      </c>
      <c r="C444" s="5" t="str">
        <f t="shared" si="1"/>
        <v>1 days 16 hours 7 minutes</v>
      </c>
      <c r="D444" s="12">
        <v>0.71</v>
      </c>
      <c r="E444" s="11">
        <v>0.0</v>
      </c>
      <c r="F444" s="11">
        <v>23.0</v>
      </c>
      <c r="G444" s="11">
        <v>28.0</v>
      </c>
      <c r="H444" s="13">
        <v>6.0</v>
      </c>
      <c r="I444" s="14">
        <v>929000.0</v>
      </c>
      <c r="J444" s="14">
        <v>929000.0</v>
      </c>
      <c r="K444" s="14">
        <v>492000.0</v>
      </c>
      <c r="L444" s="14">
        <v>66000.0</v>
      </c>
      <c r="M444" s="14"/>
      <c r="N444" s="10">
        <f t="shared" si="2"/>
        <v>84486</v>
      </c>
      <c r="O444" s="10">
        <f t="shared" si="3"/>
        <v>144472</v>
      </c>
    </row>
    <row r="445">
      <c r="A445" s="3" t="s">
        <v>46</v>
      </c>
      <c r="B445" s="4">
        <v>19.0</v>
      </c>
      <c r="C445" s="5" t="str">
        <f t="shared" si="1"/>
        <v>0 days 0 hours 0 minutes</v>
      </c>
      <c r="D445" s="6"/>
      <c r="E445" s="7"/>
      <c r="F445" s="7"/>
      <c r="G445" s="7"/>
      <c r="H445" s="8"/>
      <c r="I445" s="9"/>
      <c r="J445" s="9"/>
      <c r="K445" s="9"/>
      <c r="L445" s="9"/>
      <c r="M445" s="9"/>
      <c r="N445" s="10">
        <f t="shared" si="2"/>
        <v>0</v>
      </c>
      <c r="O445" s="10">
        <f t="shared" si="3"/>
        <v>0</v>
      </c>
    </row>
    <row r="446">
      <c r="A446" s="3" t="s">
        <v>46</v>
      </c>
      <c r="B446" s="4">
        <v>20.0</v>
      </c>
      <c r="C446" s="5" t="str">
        <f t="shared" si="1"/>
        <v>0 days 0 hours 0 minutes</v>
      </c>
      <c r="D446" s="6"/>
      <c r="E446" s="7"/>
      <c r="F446" s="7"/>
      <c r="G446" s="7"/>
      <c r="H446" s="8"/>
      <c r="I446" s="9"/>
      <c r="J446" s="9"/>
      <c r="K446" s="9"/>
      <c r="L446" s="9"/>
      <c r="M446" s="9"/>
      <c r="N446" s="10">
        <f t="shared" si="2"/>
        <v>0</v>
      </c>
      <c r="O446" s="10">
        <f t="shared" si="3"/>
        <v>0</v>
      </c>
    </row>
    <row r="447">
      <c r="A447" s="3" t="s">
        <v>46</v>
      </c>
      <c r="B447" s="4">
        <v>21.0</v>
      </c>
      <c r="C447" s="5" t="str">
        <f t="shared" si="1"/>
        <v>0 days 0 hours 0 minutes</v>
      </c>
      <c r="D447" s="6"/>
      <c r="E447" s="7"/>
      <c r="F447" s="7"/>
      <c r="G447" s="7"/>
      <c r="H447" s="8"/>
      <c r="I447" s="9"/>
      <c r="J447" s="9"/>
      <c r="K447" s="9"/>
      <c r="L447" s="9"/>
      <c r="M447" s="9"/>
      <c r="N447" s="10">
        <f t="shared" si="2"/>
        <v>0</v>
      </c>
      <c r="O447" s="10">
        <f t="shared" si="3"/>
        <v>0</v>
      </c>
    </row>
    <row r="448">
      <c r="A448" s="3" t="s">
        <v>46</v>
      </c>
      <c r="B448" s="4">
        <v>22.0</v>
      </c>
      <c r="C448" s="5" t="str">
        <f t="shared" si="1"/>
        <v>0 days 0 hours 0 minutes</v>
      </c>
      <c r="D448" s="6"/>
      <c r="E448" s="7"/>
      <c r="F448" s="7"/>
      <c r="G448" s="7"/>
      <c r="H448" s="8"/>
      <c r="I448" s="9"/>
      <c r="J448" s="9"/>
      <c r="K448" s="9"/>
      <c r="L448" s="9"/>
      <c r="M448" s="9"/>
      <c r="N448" s="10">
        <f t="shared" si="2"/>
        <v>0</v>
      </c>
      <c r="O448" s="10">
        <f t="shared" si="3"/>
        <v>0</v>
      </c>
    </row>
    <row r="449">
      <c r="A449" s="3" t="s">
        <v>46</v>
      </c>
      <c r="B449" s="4">
        <v>23.0</v>
      </c>
      <c r="C449" s="5" t="str">
        <f t="shared" si="1"/>
        <v>0 days 0 hours 0 minutes</v>
      </c>
      <c r="D449" s="12"/>
      <c r="E449" s="11"/>
      <c r="F449" s="11"/>
      <c r="G449" s="11"/>
      <c r="H449" s="13"/>
      <c r="I449" s="14"/>
      <c r="J449" s="14"/>
      <c r="K449" s="14"/>
      <c r="L449" s="14"/>
      <c r="M449" s="14"/>
      <c r="N449" s="10">
        <f t="shared" si="2"/>
        <v>0</v>
      </c>
      <c r="O449" s="10">
        <f t="shared" si="3"/>
        <v>0</v>
      </c>
    </row>
    <row r="450">
      <c r="A450" s="3" t="s">
        <v>46</v>
      </c>
      <c r="B450" s="4">
        <v>24.0</v>
      </c>
      <c r="C450" s="5" t="str">
        <f t="shared" si="1"/>
        <v>0 days 0 hours 0 minutes</v>
      </c>
      <c r="D450" s="12"/>
      <c r="E450" s="7"/>
      <c r="F450" s="7"/>
      <c r="G450" s="7"/>
      <c r="H450" s="8"/>
      <c r="I450" s="9"/>
      <c r="J450" s="9"/>
      <c r="K450" s="9"/>
      <c r="L450" s="9"/>
      <c r="M450" s="9"/>
      <c r="N450" s="10">
        <f t="shared" si="2"/>
        <v>0</v>
      </c>
      <c r="O450" s="10">
        <f t="shared" si="3"/>
        <v>0</v>
      </c>
    </row>
    <row r="451">
      <c r="A451" s="3" t="s">
        <v>46</v>
      </c>
      <c r="B451" s="4">
        <v>25.0</v>
      </c>
      <c r="C451" s="5" t="str">
        <f t="shared" si="1"/>
        <v>0 days 0 hours 0 minutes</v>
      </c>
      <c r="D451" s="6"/>
      <c r="E451" s="7"/>
      <c r="F451" s="7"/>
      <c r="G451" s="7"/>
      <c r="H451" s="8"/>
      <c r="I451" s="9"/>
      <c r="J451" s="9"/>
      <c r="K451" s="9"/>
      <c r="L451" s="9"/>
      <c r="M451" s="9"/>
      <c r="N451" s="10">
        <f t="shared" si="2"/>
        <v>0</v>
      </c>
      <c r="O451" s="10">
        <f t="shared" si="3"/>
        <v>0</v>
      </c>
    </row>
    <row r="452">
      <c r="A452" s="18" t="s">
        <v>47</v>
      </c>
      <c r="B452" s="19">
        <v>1.0</v>
      </c>
      <c r="C452" s="20" t="str">
        <f t="shared" si="1"/>
        <v>0 days 0 hours 0 minutes</v>
      </c>
      <c r="D452" s="21"/>
      <c r="E452" s="22"/>
      <c r="F452" s="22"/>
      <c r="G452" s="22"/>
      <c r="H452" s="23"/>
      <c r="I452" s="24"/>
      <c r="J452" s="24"/>
      <c r="K452" s="24"/>
      <c r="L452" s="24"/>
      <c r="M452" s="24"/>
      <c r="N452" s="25">
        <f t="shared" si="2"/>
        <v>0</v>
      </c>
      <c r="O452" s="25">
        <f t="shared" si="3"/>
        <v>0</v>
      </c>
    </row>
    <row r="453">
      <c r="A453" s="3" t="s">
        <v>47</v>
      </c>
      <c r="B453" s="4">
        <v>2.0</v>
      </c>
      <c r="C453" s="5" t="str">
        <f t="shared" si="1"/>
        <v>0 days 0 hours 0 minutes</v>
      </c>
      <c r="D453" s="6"/>
      <c r="E453" s="7"/>
      <c r="F453" s="7"/>
      <c r="G453" s="7"/>
      <c r="H453" s="8"/>
      <c r="I453" s="9"/>
      <c r="J453" s="9"/>
      <c r="K453" s="9"/>
      <c r="L453" s="9"/>
      <c r="M453" s="9"/>
      <c r="N453" s="10">
        <f t="shared" si="2"/>
        <v>0</v>
      </c>
      <c r="O453" s="10">
        <f t="shared" si="3"/>
        <v>0</v>
      </c>
    </row>
    <row r="454">
      <c r="A454" s="3" t="s">
        <v>47</v>
      </c>
      <c r="B454" s="4">
        <v>3.0</v>
      </c>
      <c r="C454" s="5" t="str">
        <f t="shared" si="1"/>
        <v>0 days 0 hours 0 minutes</v>
      </c>
      <c r="D454" s="6"/>
      <c r="E454" s="7"/>
      <c r="F454" s="7"/>
      <c r="G454" s="7"/>
      <c r="H454" s="8"/>
      <c r="I454" s="9"/>
      <c r="J454" s="9"/>
      <c r="K454" s="9"/>
      <c r="L454" s="9"/>
      <c r="M454" s="9"/>
      <c r="N454" s="10">
        <f t="shared" si="2"/>
        <v>0</v>
      </c>
      <c r="O454" s="10">
        <f t="shared" si="3"/>
        <v>0</v>
      </c>
    </row>
    <row r="455">
      <c r="A455" s="3" t="s">
        <v>47</v>
      </c>
      <c r="B455" s="4">
        <v>4.0</v>
      </c>
      <c r="C455" s="5" t="str">
        <f t="shared" si="1"/>
        <v>0 days 0 hours 0 minutes</v>
      </c>
      <c r="D455" s="6"/>
      <c r="E455" s="7"/>
      <c r="F455" s="7"/>
      <c r="G455" s="7"/>
      <c r="H455" s="8"/>
      <c r="I455" s="9"/>
      <c r="J455" s="9"/>
      <c r="K455" s="9"/>
      <c r="L455" s="9"/>
      <c r="M455" s="9"/>
      <c r="N455" s="10">
        <f t="shared" si="2"/>
        <v>0</v>
      </c>
      <c r="O455" s="10">
        <f t="shared" si="3"/>
        <v>0</v>
      </c>
    </row>
    <row r="456">
      <c r="A456" s="3" t="s">
        <v>47</v>
      </c>
      <c r="B456" s="4">
        <v>5.0</v>
      </c>
      <c r="C456" s="5" t="str">
        <f t="shared" si="1"/>
        <v>0 days 0 hours 0 minutes</v>
      </c>
      <c r="D456" s="6"/>
      <c r="E456" s="7"/>
      <c r="F456" s="7"/>
      <c r="G456" s="7"/>
      <c r="H456" s="8"/>
      <c r="I456" s="9"/>
      <c r="J456" s="9"/>
      <c r="K456" s="9"/>
      <c r="L456" s="9"/>
      <c r="M456" s="9"/>
      <c r="N456" s="10">
        <f t="shared" si="2"/>
        <v>0</v>
      </c>
      <c r="O456" s="10">
        <f t="shared" si="3"/>
        <v>0</v>
      </c>
    </row>
    <row r="457">
      <c r="A457" s="3" t="s">
        <v>47</v>
      </c>
      <c r="B457" s="4">
        <v>6.0</v>
      </c>
      <c r="C457" s="5" t="str">
        <f t="shared" si="1"/>
        <v>0 days 0 hours 0 minutes</v>
      </c>
      <c r="D457" s="6"/>
      <c r="E457" s="7"/>
      <c r="F457" s="7"/>
      <c r="G457" s="7"/>
      <c r="H457" s="8"/>
      <c r="I457" s="9"/>
      <c r="J457" s="9"/>
      <c r="K457" s="9"/>
      <c r="L457" s="9"/>
      <c r="M457" s="9"/>
      <c r="N457" s="10">
        <f t="shared" si="2"/>
        <v>0</v>
      </c>
      <c r="O457" s="10">
        <f t="shared" si="3"/>
        <v>0</v>
      </c>
    </row>
    <row r="458">
      <c r="A458" s="3" t="s">
        <v>47</v>
      </c>
      <c r="B458" s="4">
        <v>7.0</v>
      </c>
      <c r="C458" s="5" t="str">
        <f t="shared" si="1"/>
        <v>0 days 0 hours 0 minutes</v>
      </c>
      <c r="D458" s="6"/>
      <c r="E458" s="7"/>
      <c r="F458" s="7"/>
      <c r="G458" s="7"/>
      <c r="H458" s="8"/>
      <c r="I458" s="9"/>
      <c r="J458" s="9"/>
      <c r="K458" s="9"/>
      <c r="L458" s="9"/>
      <c r="M458" s="9"/>
      <c r="N458" s="10">
        <f t="shared" si="2"/>
        <v>0</v>
      </c>
      <c r="O458" s="10">
        <f t="shared" si="3"/>
        <v>0</v>
      </c>
    </row>
    <row r="459">
      <c r="A459" s="3" t="s">
        <v>47</v>
      </c>
      <c r="B459" s="4">
        <v>8.0</v>
      </c>
      <c r="C459" s="5" t="str">
        <f t="shared" si="1"/>
        <v>0 days 0 hours 0 minutes</v>
      </c>
      <c r="D459" s="6"/>
      <c r="E459" s="7"/>
      <c r="F459" s="7"/>
      <c r="G459" s="7"/>
      <c r="H459" s="8"/>
      <c r="I459" s="9"/>
      <c r="J459" s="9"/>
      <c r="K459" s="9"/>
      <c r="L459" s="9"/>
      <c r="M459" s="9"/>
      <c r="N459" s="10">
        <f t="shared" si="2"/>
        <v>0</v>
      </c>
      <c r="O459" s="10">
        <f t="shared" si="3"/>
        <v>0</v>
      </c>
    </row>
    <row r="460">
      <c r="A460" s="3" t="s">
        <v>47</v>
      </c>
      <c r="B460" s="4">
        <v>9.0</v>
      </c>
      <c r="C460" s="5" t="str">
        <f t="shared" si="1"/>
        <v>0 days 0 hours 0 minutes</v>
      </c>
      <c r="D460" s="6"/>
      <c r="E460" s="7"/>
      <c r="F460" s="7"/>
      <c r="G460" s="7"/>
      <c r="H460" s="8"/>
      <c r="I460" s="9"/>
      <c r="J460" s="9"/>
      <c r="K460" s="9"/>
      <c r="L460" s="9"/>
      <c r="M460" s="9"/>
      <c r="N460" s="10">
        <f t="shared" si="2"/>
        <v>0</v>
      </c>
      <c r="O460" s="10">
        <f t="shared" si="3"/>
        <v>0</v>
      </c>
    </row>
    <row r="461">
      <c r="A461" s="3" t="s">
        <v>47</v>
      </c>
      <c r="B461" s="4">
        <v>10.0</v>
      </c>
      <c r="C461" s="5" t="str">
        <f t="shared" si="1"/>
        <v>0 days 0 hours 0 minutes</v>
      </c>
      <c r="D461" s="6"/>
      <c r="E461" s="7"/>
      <c r="F461" s="7"/>
      <c r="G461" s="7"/>
      <c r="H461" s="8"/>
      <c r="I461" s="9"/>
      <c r="J461" s="9"/>
      <c r="K461" s="9"/>
      <c r="L461" s="9"/>
      <c r="M461" s="9"/>
      <c r="N461" s="10">
        <f t="shared" si="2"/>
        <v>0</v>
      </c>
      <c r="O461" s="10">
        <f t="shared" si="3"/>
        <v>0</v>
      </c>
    </row>
    <row r="462">
      <c r="A462" s="3" t="s">
        <v>47</v>
      </c>
      <c r="B462" s="4">
        <v>11.0</v>
      </c>
      <c r="C462" s="5" t="str">
        <f t="shared" si="1"/>
        <v>0 days 0 hours 0 minutes</v>
      </c>
      <c r="D462" s="6"/>
      <c r="E462" s="7"/>
      <c r="F462" s="7"/>
      <c r="G462" s="7"/>
      <c r="H462" s="8"/>
      <c r="I462" s="9"/>
      <c r="J462" s="9"/>
      <c r="K462" s="9"/>
      <c r="L462" s="9"/>
      <c r="M462" s="9"/>
      <c r="N462" s="10">
        <f t="shared" si="2"/>
        <v>0</v>
      </c>
      <c r="O462" s="10">
        <f t="shared" si="3"/>
        <v>0</v>
      </c>
    </row>
    <row r="463">
      <c r="A463" s="3" t="s">
        <v>47</v>
      </c>
      <c r="B463" s="4">
        <v>12.0</v>
      </c>
      <c r="C463" s="5" t="str">
        <f t="shared" si="1"/>
        <v>0 days 0 hours 0 minutes</v>
      </c>
      <c r="D463" s="6"/>
      <c r="E463" s="7"/>
      <c r="F463" s="7"/>
      <c r="G463" s="7"/>
      <c r="H463" s="8"/>
      <c r="I463" s="9"/>
      <c r="J463" s="9"/>
      <c r="K463" s="9"/>
      <c r="L463" s="9"/>
      <c r="M463" s="9"/>
      <c r="N463" s="10">
        <f t="shared" si="2"/>
        <v>0</v>
      </c>
      <c r="O463" s="10">
        <f t="shared" si="3"/>
        <v>0</v>
      </c>
    </row>
    <row r="464">
      <c r="A464" s="3" t="s">
        <v>47</v>
      </c>
      <c r="B464" s="4">
        <v>13.0</v>
      </c>
      <c r="C464" s="5" t="str">
        <f t="shared" si="1"/>
        <v>0 days 0 hours 0 minutes</v>
      </c>
      <c r="D464" s="6"/>
      <c r="E464" s="7"/>
      <c r="F464" s="7"/>
      <c r="G464" s="7"/>
      <c r="H464" s="8"/>
      <c r="I464" s="9"/>
      <c r="J464" s="9"/>
      <c r="K464" s="9"/>
      <c r="L464" s="9"/>
      <c r="M464" s="9"/>
      <c r="N464" s="10">
        <f t="shared" si="2"/>
        <v>0</v>
      </c>
      <c r="O464" s="10">
        <f t="shared" si="3"/>
        <v>0</v>
      </c>
    </row>
    <row r="465">
      <c r="A465" s="3" t="s">
        <v>47</v>
      </c>
      <c r="B465" s="4">
        <v>14.0</v>
      </c>
      <c r="C465" s="5" t="str">
        <f t="shared" si="1"/>
        <v>0 days 0 hours 0 minutes</v>
      </c>
      <c r="D465" s="6"/>
      <c r="E465" s="7"/>
      <c r="F465" s="7"/>
      <c r="G465" s="7"/>
      <c r="H465" s="8"/>
      <c r="I465" s="9"/>
      <c r="J465" s="9"/>
      <c r="K465" s="9"/>
      <c r="L465" s="9"/>
      <c r="M465" s="9"/>
      <c r="N465" s="10">
        <f t="shared" si="2"/>
        <v>0</v>
      </c>
      <c r="O465" s="10">
        <f t="shared" si="3"/>
        <v>0</v>
      </c>
    </row>
    <row r="466">
      <c r="A466" s="3" t="s">
        <v>47</v>
      </c>
      <c r="B466" s="4">
        <v>15.0</v>
      </c>
      <c r="C466" s="5" t="str">
        <f t="shared" si="1"/>
        <v>0 days 0 hours 0 minutes</v>
      </c>
      <c r="D466" s="6"/>
      <c r="E466" s="7"/>
      <c r="F466" s="7"/>
      <c r="G466" s="7"/>
      <c r="H466" s="8"/>
      <c r="I466" s="9"/>
      <c r="J466" s="9"/>
      <c r="K466" s="9"/>
      <c r="L466" s="9"/>
      <c r="M466" s="9"/>
      <c r="N466" s="10">
        <f t="shared" si="2"/>
        <v>0</v>
      </c>
      <c r="O466" s="10">
        <f t="shared" si="3"/>
        <v>0</v>
      </c>
    </row>
    <row r="467">
      <c r="A467" s="3" t="s">
        <v>47</v>
      </c>
      <c r="B467" s="4">
        <v>16.0</v>
      </c>
      <c r="C467" s="5" t="str">
        <f t="shared" si="1"/>
        <v>0 days 0 hours 0 minutes</v>
      </c>
      <c r="D467" s="6"/>
      <c r="E467" s="7"/>
      <c r="F467" s="7"/>
      <c r="G467" s="7"/>
      <c r="H467" s="8"/>
      <c r="I467" s="9"/>
      <c r="J467" s="9"/>
      <c r="K467" s="9"/>
      <c r="L467" s="9"/>
      <c r="M467" s="9"/>
      <c r="N467" s="10">
        <f t="shared" si="2"/>
        <v>0</v>
      </c>
      <c r="O467" s="10">
        <f t="shared" si="3"/>
        <v>0</v>
      </c>
    </row>
    <row r="468">
      <c r="A468" s="3" t="s">
        <v>47</v>
      </c>
      <c r="B468" s="4">
        <v>17.0</v>
      </c>
      <c r="C468" s="5" t="str">
        <f t="shared" si="1"/>
        <v>0 days 0 hours 0 minutes</v>
      </c>
      <c r="D468" s="6"/>
      <c r="E468" s="7"/>
      <c r="F468" s="7"/>
      <c r="G468" s="7"/>
      <c r="H468" s="8"/>
      <c r="I468" s="9"/>
      <c r="J468" s="9"/>
      <c r="K468" s="9"/>
      <c r="L468" s="9"/>
      <c r="M468" s="9"/>
      <c r="N468" s="10">
        <f t="shared" si="2"/>
        <v>0</v>
      </c>
      <c r="O468" s="10">
        <f t="shared" si="3"/>
        <v>0</v>
      </c>
    </row>
    <row r="469">
      <c r="A469" s="3" t="s">
        <v>47</v>
      </c>
      <c r="B469" s="4">
        <v>18.0</v>
      </c>
      <c r="C469" s="5" t="str">
        <f t="shared" si="1"/>
        <v>0 days 0 hours 0 minutes</v>
      </c>
      <c r="D469" s="6"/>
      <c r="E469" s="7"/>
      <c r="F469" s="7"/>
      <c r="G469" s="7"/>
      <c r="H469" s="8"/>
      <c r="I469" s="14">
        <v>2900000.0</v>
      </c>
      <c r="J469" s="14">
        <v>2900000.0</v>
      </c>
      <c r="K469" s="14">
        <v>3100000.0</v>
      </c>
      <c r="L469" s="14">
        <v>288000.0</v>
      </c>
      <c r="M469" s="14"/>
      <c r="N469" s="10">
        <f t="shared" si="2"/>
        <v>0</v>
      </c>
      <c r="O469" s="10">
        <f t="shared" si="3"/>
        <v>0</v>
      </c>
    </row>
    <row r="470">
      <c r="A470" s="3" t="s">
        <v>47</v>
      </c>
      <c r="B470" s="4">
        <v>19.0</v>
      </c>
      <c r="C470" s="5" t="str">
        <f t="shared" si="1"/>
        <v>0 days 0 hours 0 minutes</v>
      </c>
      <c r="D470" s="6"/>
      <c r="E470" s="7"/>
      <c r="F470" s="7"/>
      <c r="G470" s="7"/>
      <c r="H470" s="8"/>
      <c r="I470" s="9"/>
      <c r="J470" s="9"/>
      <c r="K470" s="9"/>
      <c r="L470" s="9"/>
      <c r="M470" s="9"/>
      <c r="N470" s="10">
        <f t="shared" si="2"/>
        <v>0</v>
      </c>
      <c r="O470" s="10">
        <f t="shared" si="3"/>
        <v>0</v>
      </c>
    </row>
    <row r="471">
      <c r="A471" s="3" t="s">
        <v>47</v>
      </c>
      <c r="B471" s="4">
        <v>20.0</v>
      </c>
      <c r="C471" s="5" t="str">
        <f t="shared" si="1"/>
        <v>0 days 0 hours 0 minutes</v>
      </c>
      <c r="D471" s="6"/>
      <c r="E471" s="7"/>
      <c r="F471" s="7"/>
      <c r="G471" s="7"/>
      <c r="H471" s="8"/>
      <c r="I471" s="9"/>
      <c r="J471" s="9"/>
      <c r="K471" s="9"/>
      <c r="L471" s="9"/>
      <c r="M471" s="9"/>
      <c r="N471" s="10">
        <f t="shared" si="2"/>
        <v>0</v>
      </c>
      <c r="O471" s="10">
        <f t="shared" si="3"/>
        <v>0</v>
      </c>
    </row>
    <row r="472">
      <c r="A472" s="3" t="s">
        <v>47</v>
      </c>
      <c r="B472" s="4">
        <v>21.0</v>
      </c>
      <c r="C472" s="5" t="str">
        <f t="shared" si="1"/>
        <v>0 days 0 hours 0 minutes</v>
      </c>
      <c r="D472" s="6"/>
      <c r="E472" s="7"/>
      <c r="F472" s="7"/>
      <c r="G472" s="7"/>
      <c r="H472" s="8"/>
      <c r="I472" s="9"/>
      <c r="J472" s="9"/>
      <c r="K472" s="9"/>
      <c r="L472" s="9"/>
      <c r="M472" s="9"/>
      <c r="N472" s="10">
        <f t="shared" si="2"/>
        <v>0</v>
      </c>
      <c r="O472" s="10">
        <f t="shared" si="3"/>
        <v>0</v>
      </c>
    </row>
    <row r="473">
      <c r="A473" s="3" t="s">
        <v>47</v>
      </c>
      <c r="B473" s="4">
        <v>22.0</v>
      </c>
      <c r="C473" s="5" t="str">
        <f t="shared" si="1"/>
        <v>0 days 0 hours 0 minutes</v>
      </c>
      <c r="D473" s="6"/>
      <c r="E473" s="7"/>
      <c r="F473" s="7"/>
      <c r="G473" s="7"/>
      <c r="H473" s="8"/>
      <c r="I473" s="9"/>
      <c r="J473" s="9"/>
      <c r="K473" s="9"/>
      <c r="L473" s="9"/>
      <c r="M473" s="9"/>
      <c r="N473" s="10">
        <f t="shared" si="2"/>
        <v>0</v>
      </c>
      <c r="O473" s="10">
        <f t="shared" si="3"/>
        <v>0</v>
      </c>
    </row>
    <row r="474">
      <c r="A474" s="3" t="s">
        <v>47</v>
      </c>
      <c r="B474" s="4">
        <v>23.0</v>
      </c>
      <c r="C474" s="5" t="str">
        <f t="shared" si="1"/>
        <v>0 days 0 hours 0 minutes</v>
      </c>
      <c r="D474" s="12"/>
      <c r="E474" s="11"/>
      <c r="F474" s="11"/>
      <c r="G474" s="11"/>
      <c r="H474" s="13"/>
      <c r="I474" s="14">
        <v>2.22E7</v>
      </c>
      <c r="J474" s="14">
        <v>2.22E7</v>
      </c>
      <c r="K474" s="14">
        <v>2.36E7</v>
      </c>
      <c r="L474" s="14">
        <v>2200000.0</v>
      </c>
      <c r="M474" s="14"/>
      <c r="N474" s="10">
        <f t="shared" si="2"/>
        <v>0</v>
      </c>
      <c r="O474" s="10">
        <f t="shared" si="3"/>
        <v>0</v>
      </c>
    </row>
    <row r="475">
      <c r="A475" s="3" t="s">
        <v>47</v>
      </c>
      <c r="B475" s="4">
        <v>24.0</v>
      </c>
      <c r="C475" s="5" t="str">
        <f t="shared" si="1"/>
        <v>0 days 0 hours 0 minutes</v>
      </c>
      <c r="D475" s="12"/>
      <c r="E475" s="7"/>
      <c r="F475" s="7"/>
      <c r="G475" s="7"/>
      <c r="H475" s="8"/>
      <c r="I475" s="14">
        <v>3.34E7</v>
      </c>
      <c r="J475" s="14">
        <v>3.34E7</v>
      </c>
      <c r="K475" s="14">
        <v>3.55E7</v>
      </c>
      <c r="L475" s="14">
        <v>3300000.0</v>
      </c>
      <c r="M475" s="14"/>
      <c r="N475" s="10">
        <f t="shared" si="2"/>
        <v>0</v>
      </c>
      <c r="O475" s="10">
        <f t="shared" si="3"/>
        <v>0</v>
      </c>
    </row>
    <row r="476">
      <c r="A476" s="3" t="s">
        <v>47</v>
      </c>
      <c r="B476" s="4">
        <v>25.0</v>
      </c>
      <c r="C476" s="5" t="str">
        <f t="shared" si="1"/>
        <v>0 days 0 hours 0 minutes</v>
      </c>
      <c r="D476" s="6"/>
      <c r="E476" s="7"/>
      <c r="F476" s="7"/>
      <c r="G476" s="7"/>
      <c r="H476" s="8"/>
      <c r="I476" s="9"/>
      <c r="J476" s="9"/>
      <c r="K476" s="9"/>
      <c r="L476" s="9"/>
      <c r="M476" s="9"/>
      <c r="N476" s="10">
        <f t="shared" si="2"/>
        <v>0</v>
      </c>
      <c r="O476" s="10">
        <f t="shared" si="3"/>
        <v>0</v>
      </c>
    </row>
    <row r="477">
      <c r="A477" s="27"/>
      <c r="B477" s="28"/>
      <c r="D477" s="29"/>
    </row>
    <row r="478">
      <c r="A478" s="27"/>
      <c r="B478" s="28"/>
      <c r="D478" s="29"/>
    </row>
    <row r="479">
      <c r="A479" s="27"/>
      <c r="B479" s="28"/>
      <c r="D479" s="29"/>
    </row>
    <row r="480">
      <c r="A480" s="27"/>
      <c r="B480" s="28"/>
      <c r="D480" s="29"/>
    </row>
    <row r="481">
      <c r="A481" s="27"/>
      <c r="B481" s="28"/>
      <c r="D481" s="29"/>
    </row>
    <row r="482">
      <c r="A482" s="27"/>
      <c r="B482" s="28"/>
      <c r="D482" s="29"/>
    </row>
    <row r="483">
      <c r="A483" s="27"/>
      <c r="B483" s="28"/>
      <c r="D483" s="29"/>
    </row>
    <row r="484">
      <c r="A484" s="27"/>
      <c r="B484" s="28"/>
      <c r="D484" s="29"/>
    </row>
    <row r="485">
      <c r="A485" s="27"/>
      <c r="B485" s="28"/>
      <c r="D485" s="29"/>
    </row>
    <row r="486">
      <c r="A486" s="27"/>
      <c r="B486" s="28"/>
      <c r="D486" s="29"/>
    </row>
    <row r="487">
      <c r="A487" s="27"/>
      <c r="B487" s="28"/>
      <c r="D487" s="29"/>
    </row>
    <row r="488">
      <c r="A488" s="27"/>
      <c r="B488" s="28"/>
      <c r="D488" s="29"/>
    </row>
    <row r="489">
      <c r="A489" s="27"/>
      <c r="B489" s="28"/>
      <c r="D489" s="29"/>
    </row>
    <row r="490">
      <c r="A490" s="27"/>
      <c r="B490" s="28"/>
      <c r="D490" s="29"/>
    </row>
    <row r="491">
      <c r="A491" s="27"/>
      <c r="B491" s="28"/>
      <c r="D491" s="29"/>
    </row>
    <row r="492">
      <c r="A492" s="27"/>
      <c r="B492" s="28"/>
      <c r="D492" s="29"/>
    </row>
    <row r="493">
      <c r="A493" s="27"/>
      <c r="B493" s="28"/>
      <c r="D493" s="29"/>
    </row>
    <row r="494">
      <c r="A494" s="27"/>
      <c r="B494" s="28"/>
      <c r="D494" s="29"/>
    </row>
    <row r="495">
      <c r="A495" s="27"/>
      <c r="B495" s="28"/>
      <c r="D495" s="29"/>
    </row>
    <row r="496">
      <c r="A496" s="27"/>
      <c r="B496" s="28"/>
      <c r="D496" s="29"/>
    </row>
    <row r="497">
      <c r="A497" s="27"/>
      <c r="B497" s="28"/>
      <c r="D497" s="29"/>
    </row>
    <row r="498">
      <c r="A498" s="27"/>
      <c r="B498" s="28"/>
      <c r="D498" s="29"/>
    </row>
    <row r="499">
      <c r="A499" s="27"/>
      <c r="B499" s="28"/>
      <c r="D499" s="29"/>
    </row>
    <row r="500">
      <c r="A500" s="27"/>
      <c r="B500" s="28"/>
      <c r="D500" s="29"/>
    </row>
    <row r="501">
      <c r="A501" s="27"/>
      <c r="B501" s="28"/>
      <c r="D501" s="29"/>
    </row>
    <row r="502">
      <c r="A502" s="27"/>
      <c r="B502" s="28"/>
      <c r="D502" s="29"/>
    </row>
    <row r="503">
      <c r="A503" s="27"/>
      <c r="B503" s="28"/>
      <c r="D503" s="29"/>
    </row>
    <row r="504">
      <c r="A504" s="27"/>
      <c r="B504" s="28"/>
      <c r="D504" s="29"/>
    </row>
    <row r="505">
      <c r="A505" s="27"/>
      <c r="B505" s="28"/>
      <c r="D505" s="29"/>
    </row>
    <row r="506">
      <c r="A506" s="27"/>
      <c r="B506" s="28"/>
      <c r="D506" s="29"/>
    </row>
    <row r="507">
      <c r="A507" s="27"/>
      <c r="B507" s="28"/>
      <c r="D507" s="29"/>
    </row>
    <row r="508">
      <c r="A508" s="27"/>
      <c r="B508" s="28"/>
      <c r="D508" s="29"/>
    </row>
    <row r="509">
      <c r="A509" s="27"/>
      <c r="B509" s="28"/>
      <c r="D509" s="29"/>
    </row>
    <row r="510">
      <c r="A510" s="27"/>
      <c r="B510" s="28"/>
      <c r="D510" s="29"/>
    </row>
    <row r="511">
      <c r="A511" s="27"/>
      <c r="B511" s="28"/>
      <c r="D511" s="29"/>
    </row>
    <row r="512">
      <c r="A512" s="27"/>
      <c r="B512" s="28"/>
      <c r="D512" s="29"/>
    </row>
    <row r="513">
      <c r="A513" s="27"/>
      <c r="B513" s="28"/>
      <c r="D513" s="29"/>
    </row>
    <row r="514">
      <c r="A514" s="27"/>
      <c r="B514" s="28"/>
      <c r="D514" s="29"/>
    </row>
    <row r="515">
      <c r="A515" s="27"/>
      <c r="B515" s="28"/>
      <c r="D515" s="29"/>
    </row>
    <row r="516">
      <c r="A516" s="27"/>
      <c r="B516" s="28"/>
      <c r="D516" s="29"/>
    </row>
    <row r="517">
      <c r="A517" s="27"/>
      <c r="B517" s="28"/>
      <c r="D517" s="29"/>
    </row>
    <row r="518">
      <c r="A518" s="27"/>
      <c r="B518" s="28"/>
      <c r="D518" s="29"/>
    </row>
    <row r="519">
      <c r="A519" s="27"/>
      <c r="B519" s="28"/>
      <c r="D519" s="29"/>
    </row>
    <row r="520">
      <c r="A520" s="27"/>
      <c r="B520" s="28"/>
      <c r="D520" s="29"/>
    </row>
    <row r="521">
      <c r="A521" s="27"/>
      <c r="B521" s="28"/>
      <c r="D521" s="29"/>
    </row>
    <row r="522">
      <c r="A522" s="27"/>
      <c r="B522" s="28"/>
      <c r="D522" s="29"/>
    </row>
    <row r="523">
      <c r="A523" s="27"/>
      <c r="B523" s="28"/>
      <c r="D523" s="29"/>
    </row>
    <row r="524">
      <c r="A524" s="27"/>
      <c r="B524" s="28"/>
      <c r="D524" s="29"/>
    </row>
    <row r="525">
      <c r="A525" s="27"/>
      <c r="B525" s="28"/>
      <c r="D525" s="29"/>
    </row>
    <row r="526">
      <c r="A526" s="27"/>
      <c r="B526" s="28"/>
      <c r="D526" s="29"/>
    </row>
    <row r="527">
      <c r="A527" s="27"/>
      <c r="B527" s="28"/>
      <c r="D527" s="29"/>
    </row>
    <row r="528">
      <c r="A528" s="27"/>
      <c r="B528" s="28"/>
      <c r="D528" s="29"/>
    </row>
    <row r="529">
      <c r="A529" s="27"/>
      <c r="B529" s="28"/>
      <c r="D529" s="29"/>
    </row>
    <row r="530">
      <c r="A530" s="27"/>
      <c r="B530" s="28"/>
      <c r="D530" s="29"/>
    </row>
    <row r="531">
      <c r="A531" s="27"/>
      <c r="B531" s="28"/>
      <c r="D531" s="29"/>
    </row>
    <row r="532">
      <c r="A532" s="27"/>
      <c r="B532" s="28"/>
      <c r="D532" s="29"/>
    </row>
    <row r="533">
      <c r="A533" s="27"/>
      <c r="B533" s="28"/>
      <c r="D533" s="29"/>
    </row>
    <row r="534">
      <c r="A534" s="27"/>
      <c r="B534" s="28"/>
      <c r="D534" s="29"/>
    </row>
    <row r="535">
      <c r="A535" s="27"/>
      <c r="B535" s="28"/>
      <c r="D535" s="29"/>
    </row>
    <row r="536">
      <c r="A536" s="27"/>
      <c r="B536" s="28"/>
      <c r="D536" s="29"/>
    </row>
    <row r="537">
      <c r="A537" s="27"/>
      <c r="B537" s="28"/>
      <c r="D537" s="29"/>
    </row>
    <row r="538">
      <c r="A538" s="27"/>
      <c r="B538" s="28"/>
      <c r="D538" s="29"/>
    </row>
    <row r="539">
      <c r="A539" s="27"/>
      <c r="B539" s="28"/>
      <c r="D539" s="29"/>
    </row>
    <row r="540">
      <c r="A540" s="27"/>
      <c r="B540" s="28"/>
      <c r="D540" s="29"/>
    </row>
    <row r="541">
      <c r="A541" s="27"/>
      <c r="B541" s="28"/>
      <c r="D541" s="29"/>
    </row>
    <row r="542">
      <c r="A542" s="27"/>
      <c r="B542" s="28"/>
      <c r="D542" s="29"/>
    </row>
    <row r="543">
      <c r="A543" s="27"/>
      <c r="B543" s="28"/>
      <c r="D543" s="29"/>
    </row>
    <row r="544">
      <c r="A544" s="27"/>
      <c r="B544" s="28"/>
      <c r="D544" s="29"/>
    </row>
    <row r="545">
      <c r="A545" s="27"/>
      <c r="B545" s="28"/>
      <c r="D545" s="29"/>
    </row>
    <row r="546">
      <c r="A546" s="27"/>
      <c r="B546" s="28"/>
      <c r="D546" s="29"/>
    </row>
    <row r="547">
      <c r="A547" s="27"/>
      <c r="B547" s="28"/>
      <c r="D547" s="29"/>
    </row>
    <row r="548">
      <c r="A548" s="27"/>
      <c r="B548" s="28"/>
      <c r="D548" s="29"/>
    </row>
    <row r="549">
      <c r="A549" s="27"/>
      <c r="B549" s="28"/>
      <c r="D549" s="29"/>
    </row>
    <row r="550">
      <c r="A550" s="27"/>
      <c r="B550" s="28"/>
      <c r="D550" s="29"/>
    </row>
    <row r="551">
      <c r="A551" s="27"/>
      <c r="B551" s="28"/>
      <c r="D551" s="29"/>
    </row>
    <row r="552">
      <c r="A552" s="27"/>
      <c r="B552" s="28"/>
      <c r="D552" s="29"/>
    </row>
    <row r="553">
      <c r="A553" s="27"/>
      <c r="B553" s="28"/>
      <c r="D553" s="29"/>
    </row>
    <row r="554">
      <c r="A554" s="27"/>
      <c r="B554" s="28"/>
      <c r="D554" s="29"/>
    </row>
    <row r="555">
      <c r="A555" s="27"/>
      <c r="B555" s="28"/>
      <c r="D555" s="29"/>
    </row>
    <row r="556">
      <c r="A556" s="27"/>
      <c r="B556" s="28"/>
      <c r="D556" s="29"/>
    </row>
    <row r="557">
      <c r="A557" s="27"/>
      <c r="B557" s="28"/>
      <c r="D557" s="29"/>
    </row>
    <row r="558">
      <c r="A558" s="27"/>
      <c r="B558" s="28"/>
      <c r="D558" s="29"/>
    </row>
    <row r="559">
      <c r="A559" s="27"/>
      <c r="B559" s="28"/>
      <c r="D559" s="29"/>
    </row>
    <row r="560">
      <c r="A560" s="27"/>
      <c r="B560" s="28"/>
      <c r="D560" s="29"/>
    </row>
    <row r="561">
      <c r="A561" s="27"/>
      <c r="B561" s="28"/>
      <c r="D561" s="29"/>
    </row>
    <row r="562">
      <c r="A562" s="27"/>
      <c r="B562" s="28"/>
      <c r="D562" s="29"/>
    </row>
    <row r="563">
      <c r="A563" s="27"/>
      <c r="B563" s="28"/>
      <c r="D563" s="29"/>
    </row>
    <row r="564">
      <c r="A564" s="27"/>
      <c r="B564" s="28"/>
      <c r="D564" s="29"/>
    </row>
    <row r="565">
      <c r="A565" s="27"/>
      <c r="B565" s="28"/>
      <c r="D565" s="29"/>
    </row>
    <row r="566">
      <c r="A566" s="27"/>
      <c r="B566" s="28"/>
      <c r="D566" s="29"/>
    </row>
    <row r="567">
      <c r="A567" s="27"/>
      <c r="B567" s="28"/>
      <c r="D567" s="29"/>
    </row>
    <row r="568">
      <c r="A568" s="27"/>
      <c r="B568" s="28"/>
      <c r="D568" s="29"/>
    </row>
    <row r="569">
      <c r="A569" s="27"/>
      <c r="B569" s="28"/>
      <c r="D569" s="29"/>
    </row>
    <row r="570">
      <c r="A570" s="27"/>
      <c r="B570" s="28"/>
      <c r="D570" s="29"/>
    </row>
    <row r="571">
      <c r="A571" s="27"/>
      <c r="B571" s="28"/>
      <c r="D571" s="29"/>
    </row>
    <row r="572">
      <c r="A572" s="27"/>
      <c r="B572" s="28"/>
      <c r="D572" s="29"/>
    </row>
    <row r="573">
      <c r="A573" s="27"/>
      <c r="B573" s="28"/>
      <c r="D573" s="29"/>
    </row>
    <row r="574">
      <c r="A574" s="27"/>
      <c r="B574" s="28"/>
      <c r="D574" s="29"/>
    </row>
    <row r="575">
      <c r="A575" s="27"/>
      <c r="B575" s="28"/>
      <c r="D575" s="29"/>
    </row>
    <row r="576">
      <c r="A576" s="27"/>
      <c r="B576" s="28"/>
      <c r="D576" s="29"/>
    </row>
    <row r="577">
      <c r="A577" s="27"/>
      <c r="B577" s="28"/>
      <c r="D577" s="29"/>
    </row>
    <row r="578">
      <c r="A578" s="27"/>
      <c r="B578" s="28"/>
      <c r="D578" s="29"/>
    </row>
    <row r="579">
      <c r="A579" s="27"/>
      <c r="B579" s="28"/>
      <c r="D579" s="29"/>
    </row>
    <row r="580">
      <c r="A580" s="27"/>
      <c r="B580" s="28"/>
      <c r="D580" s="29"/>
    </row>
    <row r="581">
      <c r="A581" s="27"/>
      <c r="B581" s="28"/>
      <c r="D581" s="29"/>
    </row>
    <row r="582">
      <c r="A582" s="27"/>
      <c r="B582" s="28"/>
      <c r="D582" s="29"/>
    </row>
    <row r="583">
      <c r="A583" s="27"/>
      <c r="B583" s="28"/>
      <c r="D583" s="29"/>
    </row>
    <row r="584">
      <c r="A584" s="27"/>
      <c r="B584" s="28"/>
      <c r="D584" s="29"/>
    </row>
    <row r="585">
      <c r="A585" s="27"/>
      <c r="B585" s="28"/>
      <c r="D585" s="29"/>
    </row>
    <row r="586">
      <c r="A586" s="27"/>
      <c r="B586" s="28"/>
      <c r="D586" s="29"/>
    </row>
    <row r="587">
      <c r="A587" s="27"/>
      <c r="B587" s="28"/>
      <c r="D587" s="29"/>
    </row>
    <row r="588">
      <c r="A588" s="27"/>
      <c r="B588" s="28"/>
      <c r="D588" s="29"/>
    </row>
    <row r="589">
      <c r="A589" s="27"/>
      <c r="B589" s="28"/>
      <c r="D589" s="29"/>
    </row>
    <row r="590">
      <c r="A590" s="27"/>
      <c r="B590" s="28"/>
      <c r="D590" s="29"/>
    </row>
    <row r="591">
      <c r="A591" s="27"/>
      <c r="B591" s="28"/>
      <c r="D591" s="29"/>
    </row>
    <row r="592">
      <c r="A592" s="27"/>
      <c r="B592" s="28"/>
      <c r="D592" s="29"/>
    </row>
    <row r="593">
      <c r="A593" s="27"/>
      <c r="B593" s="28"/>
      <c r="D593" s="29"/>
    </row>
    <row r="594">
      <c r="A594" s="27"/>
      <c r="B594" s="28"/>
      <c r="D594" s="29"/>
    </row>
    <row r="595">
      <c r="A595" s="27"/>
      <c r="B595" s="28"/>
      <c r="D595" s="29"/>
    </row>
    <row r="596">
      <c r="A596" s="27"/>
      <c r="B596" s="28"/>
      <c r="D596" s="29"/>
    </row>
    <row r="597">
      <c r="A597" s="27"/>
      <c r="B597" s="28"/>
      <c r="D597" s="29"/>
    </row>
    <row r="598">
      <c r="A598" s="27"/>
      <c r="B598" s="28"/>
      <c r="D598" s="29"/>
    </row>
    <row r="599">
      <c r="A599" s="27"/>
      <c r="B599" s="28"/>
      <c r="D599" s="29"/>
    </row>
    <row r="600">
      <c r="A600" s="27"/>
      <c r="B600" s="28"/>
      <c r="D600" s="29"/>
    </row>
    <row r="601">
      <c r="A601" s="27"/>
      <c r="B601" s="28"/>
      <c r="D601" s="29"/>
    </row>
    <row r="602">
      <c r="A602" s="27"/>
      <c r="B602" s="28"/>
      <c r="D602" s="29"/>
    </row>
    <row r="603">
      <c r="A603" s="27"/>
      <c r="B603" s="28"/>
      <c r="D603" s="29"/>
    </row>
    <row r="604">
      <c r="A604" s="27"/>
      <c r="B604" s="28"/>
      <c r="D604" s="29"/>
    </row>
    <row r="605">
      <c r="A605" s="27"/>
      <c r="B605" s="28"/>
      <c r="D605" s="29"/>
    </row>
    <row r="606">
      <c r="A606" s="27"/>
      <c r="B606" s="28"/>
      <c r="D606" s="29"/>
    </row>
    <row r="607">
      <c r="A607" s="27"/>
      <c r="B607" s="28"/>
      <c r="D607" s="29"/>
    </row>
    <row r="608">
      <c r="A608" s="27"/>
      <c r="B608" s="28"/>
      <c r="D608" s="29"/>
    </row>
    <row r="609">
      <c r="A609" s="27"/>
      <c r="B609" s="28"/>
      <c r="D609" s="29"/>
    </row>
    <row r="610">
      <c r="A610" s="27"/>
      <c r="B610" s="28"/>
      <c r="D610" s="29"/>
    </row>
    <row r="611">
      <c r="A611" s="27"/>
      <c r="B611" s="28"/>
      <c r="D611" s="29"/>
    </row>
    <row r="612">
      <c r="A612" s="27"/>
      <c r="B612" s="28"/>
      <c r="D612" s="29"/>
    </row>
    <row r="613">
      <c r="A613" s="27"/>
      <c r="B613" s="28"/>
      <c r="D613" s="29"/>
    </row>
    <row r="614">
      <c r="A614" s="27"/>
      <c r="B614" s="28"/>
      <c r="D614" s="29"/>
    </row>
    <row r="615">
      <c r="A615" s="27"/>
      <c r="B615" s="28"/>
      <c r="D615" s="29"/>
    </row>
    <row r="616">
      <c r="A616" s="27"/>
      <c r="B616" s="28"/>
      <c r="D616" s="29"/>
    </row>
    <row r="617">
      <c r="A617" s="27"/>
      <c r="B617" s="28"/>
      <c r="D617" s="29"/>
    </row>
    <row r="618">
      <c r="A618" s="27"/>
      <c r="B618" s="28"/>
      <c r="D618" s="29"/>
    </row>
    <row r="619">
      <c r="A619" s="27"/>
      <c r="B619" s="28"/>
      <c r="D619" s="29"/>
    </row>
    <row r="620">
      <c r="A620" s="27"/>
      <c r="B620" s="28"/>
      <c r="D620" s="29"/>
    </row>
    <row r="621">
      <c r="A621" s="27"/>
      <c r="B621" s="28"/>
      <c r="D621" s="29"/>
    </row>
    <row r="622">
      <c r="A622" s="27"/>
      <c r="B622" s="28"/>
      <c r="D622" s="29"/>
    </row>
    <row r="623">
      <c r="A623" s="27"/>
      <c r="B623" s="28"/>
      <c r="D623" s="29"/>
    </row>
    <row r="624">
      <c r="A624" s="27"/>
      <c r="B624" s="28"/>
      <c r="D624" s="29"/>
    </row>
    <row r="625">
      <c r="A625" s="27"/>
      <c r="B625" s="28"/>
      <c r="D625" s="29"/>
    </row>
    <row r="626">
      <c r="A626" s="27"/>
      <c r="B626" s="28"/>
      <c r="D626" s="29"/>
    </row>
    <row r="627">
      <c r="A627" s="27"/>
      <c r="B627" s="28"/>
      <c r="D627" s="29"/>
    </row>
    <row r="628">
      <c r="A628" s="27"/>
      <c r="B628" s="28"/>
      <c r="D628" s="29"/>
    </row>
    <row r="629">
      <c r="A629" s="27"/>
      <c r="B629" s="28"/>
      <c r="D629" s="29"/>
    </row>
    <row r="630">
      <c r="A630" s="27"/>
      <c r="B630" s="28"/>
      <c r="D630" s="29"/>
    </row>
    <row r="631">
      <c r="A631" s="27"/>
      <c r="B631" s="28"/>
      <c r="D631" s="29"/>
    </row>
    <row r="632">
      <c r="A632" s="27"/>
      <c r="B632" s="28"/>
      <c r="D632" s="29"/>
    </row>
    <row r="633">
      <c r="A633" s="27"/>
      <c r="B633" s="28"/>
      <c r="D633" s="29"/>
    </row>
    <row r="634">
      <c r="A634" s="27"/>
      <c r="B634" s="28"/>
      <c r="D634" s="29"/>
    </row>
    <row r="635">
      <c r="A635" s="27"/>
      <c r="B635" s="28"/>
      <c r="D635" s="29"/>
    </row>
    <row r="636">
      <c r="A636" s="27"/>
      <c r="B636" s="28"/>
      <c r="D636" s="29"/>
    </row>
    <row r="637">
      <c r="A637" s="27"/>
      <c r="B637" s="28"/>
      <c r="D637" s="29"/>
    </row>
    <row r="638">
      <c r="A638" s="27"/>
      <c r="B638" s="28"/>
      <c r="D638" s="29"/>
    </row>
    <row r="639">
      <c r="A639" s="27"/>
      <c r="B639" s="28"/>
      <c r="D639" s="29"/>
    </row>
    <row r="640">
      <c r="A640" s="27"/>
      <c r="B640" s="28"/>
      <c r="D640" s="29"/>
    </row>
    <row r="641">
      <c r="A641" s="27"/>
      <c r="B641" s="28"/>
      <c r="D641" s="29"/>
    </row>
    <row r="642">
      <c r="A642" s="27"/>
      <c r="B642" s="28"/>
      <c r="D642" s="29"/>
    </row>
    <row r="643">
      <c r="A643" s="27"/>
      <c r="B643" s="28"/>
      <c r="D643" s="29"/>
    </row>
    <row r="644">
      <c r="A644" s="27"/>
      <c r="B644" s="28"/>
      <c r="D644" s="29"/>
    </row>
    <row r="645">
      <c r="A645" s="27"/>
      <c r="B645" s="28"/>
      <c r="D645" s="29"/>
    </row>
    <row r="646">
      <c r="A646" s="27"/>
      <c r="B646" s="28"/>
      <c r="D646" s="29"/>
    </row>
    <row r="647">
      <c r="A647" s="27"/>
      <c r="B647" s="28"/>
      <c r="D647" s="29"/>
    </row>
    <row r="648">
      <c r="A648" s="27"/>
      <c r="B648" s="28"/>
      <c r="D648" s="29"/>
    </row>
    <row r="649">
      <c r="A649" s="27"/>
      <c r="B649" s="28"/>
      <c r="D649" s="29"/>
    </row>
    <row r="650">
      <c r="A650" s="27"/>
      <c r="B650" s="28"/>
      <c r="D650" s="29"/>
    </row>
    <row r="651">
      <c r="A651" s="27"/>
      <c r="B651" s="28"/>
      <c r="D651" s="29"/>
    </row>
    <row r="652">
      <c r="A652" s="27"/>
      <c r="B652" s="28"/>
      <c r="D652" s="29"/>
    </row>
    <row r="653">
      <c r="A653" s="27"/>
      <c r="B653" s="28"/>
      <c r="D653" s="29"/>
    </row>
    <row r="654">
      <c r="A654" s="27"/>
      <c r="B654" s="28"/>
      <c r="D654" s="29"/>
    </row>
    <row r="655">
      <c r="A655" s="27"/>
      <c r="B655" s="28"/>
      <c r="D655" s="29"/>
    </row>
    <row r="656">
      <c r="A656" s="27"/>
      <c r="B656" s="28"/>
      <c r="D656" s="29"/>
    </row>
    <row r="657">
      <c r="A657" s="27"/>
      <c r="B657" s="28"/>
      <c r="D657" s="29"/>
    </row>
    <row r="658">
      <c r="A658" s="27"/>
      <c r="B658" s="28"/>
      <c r="D658" s="29"/>
    </row>
    <row r="659">
      <c r="A659" s="27"/>
      <c r="B659" s="28"/>
      <c r="D659" s="29"/>
    </row>
    <row r="660">
      <c r="A660" s="27"/>
      <c r="B660" s="28"/>
      <c r="D660" s="29"/>
    </row>
    <row r="661">
      <c r="A661" s="27"/>
      <c r="B661" s="28"/>
      <c r="D661" s="29"/>
    </row>
    <row r="662">
      <c r="A662" s="27"/>
      <c r="B662" s="28"/>
      <c r="D662" s="29"/>
    </row>
    <row r="663">
      <c r="A663" s="27"/>
      <c r="B663" s="28"/>
      <c r="D663" s="29"/>
    </row>
    <row r="664">
      <c r="A664" s="27"/>
      <c r="B664" s="28"/>
      <c r="D664" s="29"/>
    </row>
    <row r="665">
      <c r="A665" s="27"/>
      <c r="B665" s="28"/>
      <c r="D665" s="29"/>
    </row>
    <row r="666">
      <c r="A666" s="27"/>
      <c r="B666" s="28"/>
      <c r="D666" s="29"/>
    </row>
    <row r="667">
      <c r="A667" s="27"/>
      <c r="B667" s="28"/>
      <c r="D667" s="29"/>
    </row>
    <row r="668">
      <c r="A668" s="27"/>
      <c r="B668" s="28"/>
      <c r="D668" s="29"/>
    </row>
    <row r="669">
      <c r="A669" s="27"/>
      <c r="B669" s="28"/>
      <c r="D669" s="29"/>
    </row>
    <row r="670">
      <c r="A670" s="27"/>
      <c r="B670" s="28"/>
      <c r="D670" s="29"/>
    </row>
    <row r="671">
      <c r="A671" s="27"/>
      <c r="B671" s="28"/>
      <c r="D671" s="29"/>
    </row>
    <row r="672">
      <c r="A672" s="27"/>
      <c r="B672" s="28"/>
      <c r="D672" s="29"/>
    </row>
    <row r="673">
      <c r="A673" s="27"/>
      <c r="B673" s="28"/>
      <c r="D673" s="29"/>
    </row>
    <row r="674">
      <c r="A674" s="27"/>
      <c r="B674" s="28"/>
      <c r="D674" s="29"/>
    </row>
    <row r="675">
      <c r="A675" s="27"/>
      <c r="B675" s="28"/>
      <c r="D675" s="29"/>
    </row>
    <row r="676">
      <c r="A676" s="27"/>
      <c r="B676" s="28"/>
      <c r="D676" s="29"/>
    </row>
    <row r="677">
      <c r="A677" s="27"/>
      <c r="B677" s="28"/>
      <c r="D677" s="29"/>
    </row>
    <row r="678">
      <c r="A678" s="27"/>
      <c r="B678" s="28"/>
      <c r="D678" s="29"/>
    </row>
    <row r="679">
      <c r="A679" s="27"/>
      <c r="B679" s="28"/>
      <c r="D679" s="29"/>
    </row>
    <row r="680">
      <c r="A680" s="27"/>
      <c r="B680" s="28"/>
      <c r="D680" s="29"/>
    </row>
    <row r="681">
      <c r="A681" s="27"/>
      <c r="B681" s="28"/>
      <c r="D681" s="29"/>
    </row>
    <row r="682">
      <c r="A682" s="27"/>
      <c r="B682" s="28"/>
      <c r="D682" s="29"/>
    </row>
    <row r="683">
      <c r="A683" s="27"/>
      <c r="B683" s="28"/>
      <c r="D683" s="29"/>
    </row>
    <row r="684">
      <c r="A684" s="27"/>
      <c r="B684" s="28"/>
      <c r="D684" s="29"/>
    </row>
    <row r="685">
      <c r="A685" s="27"/>
      <c r="B685" s="28"/>
      <c r="D685" s="29"/>
    </row>
    <row r="686">
      <c r="A686" s="27"/>
      <c r="B686" s="28"/>
      <c r="D686" s="29"/>
    </row>
    <row r="687">
      <c r="A687" s="27"/>
      <c r="B687" s="28"/>
      <c r="D687" s="29"/>
    </row>
    <row r="688">
      <c r="A688" s="27"/>
      <c r="B688" s="28"/>
      <c r="D688" s="29"/>
    </row>
    <row r="689">
      <c r="A689" s="27"/>
      <c r="B689" s="28"/>
      <c r="D689" s="29"/>
    </row>
    <row r="690">
      <c r="A690" s="27"/>
      <c r="B690" s="28"/>
      <c r="D690" s="29"/>
    </row>
    <row r="691">
      <c r="A691" s="27"/>
      <c r="B691" s="28"/>
      <c r="D691" s="29"/>
    </row>
    <row r="692">
      <c r="A692" s="27"/>
      <c r="B692" s="28"/>
      <c r="D692" s="29"/>
    </row>
    <row r="693">
      <c r="A693" s="27"/>
      <c r="B693" s="28"/>
      <c r="D693" s="29"/>
    </row>
    <row r="694">
      <c r="A694" s="27"/>
      <c r="B694" s="28"/>
      <c r="D694" s="29"/>
    </row>
    <row r="695">
      <c r="A695" s="27"/>
      <c r="B695" s="28"/>
      <c r="D695" s="29"/>
    </row>
    <row r="696">
      <c r="A696" s="27"/>
      <c r="B696" s="28"/>
      <c r="D696" s="29"/>
    </row>
    <row r="697">
      <c r="A697" s="27"/>
      <c r="B697" s="28"/>
      <c r="D697" s="29"/>
    </row>
    <row r="698">
      <c r="A698" s="27"/>
      <c r="B698" s="28"/>
      <c r="D698" s="29"/>
    </row>
    <row r="699">
      <c r="A699" s="27"/>
      <c r="B699" s="28"/>
      <c r="D699" s="29"/>
    </row>
    <row r="700">
      <c r="A700" s="27"/>
      <c r="B700" s="28"/>
      <c r="D700" s="29"/>
    </row>
    <row r="701">
      <c r="A701" s="27"/>
      <c r="B701" s="28"/>
      <c r="D701" s="29"/>
    </row>
    <row r="702">
      <c r="A702" s="27"/>
      <c r="B702" s="28"/>
      <c r="D702" s="29"/>
    </row>
    <row r="703">
      <c r="A703" s="27"/>
      <c r="B703" s="28"/>
      <c r="D703" s="29"/>
    </row>
    <row r="704">
      <c r="A704" s="27"/>
      <c r="B704" s="28"/>
      <c r="D704" s="29"/>
    </row>
    <row r="705">
      <c r="A705" s="27"/>
      <c r="B705" s="28"/>
      <c r="D705" s="29"/>
    </row>
    <row r="706">
      <c r="A706" s="27"/>
      <c r="B706" s="28"/>
      <c r="D706" s="29"/>
    </row>
    <row r="707">
      <c r="A707" s="27"/>
      <c r="B707" s="28"/>
      <c r="D707" s="29"/>
    </row>
    <row r="708">
      <c r="A708" s="27"/>
      <c r="B708" s="28"/>
      <c r="D708" s="29"/>
    </row>
    <row r="709">
      <c r="A709" s="27"/>
      <c r="B709" s="28"/>
      <c r="D709" s="29"/>
    </row>
    <row r="710">
      <c r="A710" s="27"/>
      <c r="B710" s="28"/>
      <c r="D710" s="29"/>
    </row>
    <row r="711">
      <c r="A711" s="27"/>
      <c r="B711" s="28"/>
      <c r="D711" s="29"/>
    </row>
    <row r="712">
      <c r="A712" s="27"/>
      <c r="B712" s="28"/>
      <c r="D712" s="29"/>
    </row>
    <row r="713">
      <c r="A713" s="27"/>
      <c r="B713" s="28"/>
      <c r="D713" s="29"/>
    </row>
    <row r="714">
      <c r="A714" s="27"/>
      <c r="B714" s="28"/>
      <c r="D714" s="29"/>
    </row>
    <row r="715">
      <c r="A715" s="27"/>
      <c r="B715" s="28"/>
      <c r="D715" s="29"/>
    </row>
    <row r="716">
      <c r="A716" s="27"/>
      <c r="B716" s="28"/>
      <c r="D716" s="29"/>
    </row>
    <row r="717">
      <c r="A717" s="27"/>
      <c r="B717" s="28"/>
      <c r="D717" s="29"/>
    </row>
    <row r="718">
      <c r="A718" s="27"/>
      <c r="B718" s="28"/>
      <c r="D718" s="29"/>
    </row>
    <row r="719">
      <c r="A719" s="27"/>
      <c r="B719" s="28"/>
      <c r="D719" s="29"/>
    </row>
    <row r="720">
      <c r="A720" s="27"/>
      <c r="B720" s="28"/>
      <c r="D720" s="29"/>
    </row>
    <row r="721">
      <c r="A721" s="27"/>
      <c r="B721" s="28"/>
      <c r="D721" s="29"/>
    </row>
    <row r="722">
      <c r="A722" s="27"/>
      <c r="B722" s="28"/>
      <c r="D722" s="29"/>
    </row>
    <row r="723">
      <c r="A723" s="27"/>
      <c r="B723" s="28"/>
      <c r="D723" s="29"/>
    </row>
    <row r="724">
      <c r="A724" s="27"/>
      <c r="B724" s="28"/>
      <c r="D724" s="29"/>
    </row>
    <row r="725">
      <c r="A725" s="27"/>
      <c r="B725" s="28"/>
      <c r="D725" s="29"/>
    </row>
    <row r="726">
      <c r="A726" s="27"/>
      <c r="B726" s="28"/>
      <c r="D726" s="29"/>
    </row>
    <row r="727">
      <c r="A727" s="27"/>
      <c r="B727" s="28"/>
      <c r="D727" s="29"/>
    </row>
    <row r="728">
      <c r="A728" s="27"/>
      <c r="B728" s="28"/>
      <c r="D728" s="29"/>
    </row>
    <row r="729">
      <c r="A729" s="27"/>
      <c r="B729" s="28"/>
      <c r="D729" s="29"/>
    </row>
    <row r="730">
      <c r="A730" s="27"/>
      <c r="B730" s="28"/>
      <c r="D730" s="29"/>
    </row>
    <row r="731">
      <c r="A731" s="27"/>
      <c r="B731" s="28"/>
      <c r="D731" s="29"/>
    </row>
    <row r="732">
      <c r="A732" s="27"/>
      <c r="B732" s="28"/>
      <c r="D732" s="29"/>
    </row>
    <row r="733">
      <c r="A733" s="27"/>
      <c r="B733" s="28"/>
      <c r="D733" s="29"/>
    </row>
    <row r="734">
      <c r="A734" s="27"/>
      <c r="B734" s="28"/>
      <c r="D734" s="29"/>
    </row>
    <row r="735">
      <c r="A735" s="27"/>
      <c r="B735" s="28"/>
      <c r="D735" s="29"/>
    </row>
    <row r="736">
      <c r="A736" s="27"/>
      <c r="B736" s="28"/>
      <c r="D736" s="29"/>
    </row>
    <row r="737">
      <c r="A737" s="27"/>
      <c r="B737" s="28"/>
      <c r="D737" s="29"/>
    </row>
    <row r="738">
      <c r="A738" s="27"/>
      <c r="B738" s="28"/>
      <c r="D738" s="29"/>
    </row>
    <row r="739">
      <c r="A739" s="27"/>
      <c r="B739" s="28"/>
      <c r="D739" s="29"/>
    </row>
    <row r="740">
      <c r="A740" s="27"/>
      <c r="B740" s="28"/>
      <c r="D740" s="29"/>
    </row>
    <row r="741">
      <c r="A741" s="27"/>
      <c r="B741" s="28"/>
      <c r="D741" s="29"/>
    </row>
    <row r="742">
      <c r="A742" s="27"/>
      <c r="B742" s="28"/>
      <c r="D742" s="29"/>
    </row>
    <row r="743">
      <c r="A743" s="27"/>
      <c r="B743" s="28"/>
      <c r="D743" s="29"/>
    </row>
    <row r="744">
      <c r="A744" s="27"/>
      <c r="B744" s="28"/>
      <c r="D744" s="29"/>
    </row>
    <row r="745">
      <c r="A745" s="27"/>
      <c r="B745" s="28"/>
      <c r="D745" s="29"/>
    </row>
    <row r="746">
      <c r="A746" s="27"/>
      <c r="B746" s="28"/>
      <c r="D746" s="29"/>
    </row>
    <row r="747">
      <c r="A747" s="27"/>
      <c r="B747" s="28"/>
      <c r="D747" s="29"/>
    </row>
    <row r="748">
      <c r="A748" s="27"/>
      <c r="B748" s="28"/>
      <c r="D748" s="29"/>
    </row>
    <row r="749">
      <c r="A749" s="27"/>
      <c r="B749" s="28"/>
      <c r="D749" s="29"/>
    </row>
    <row r="750">
      <c r="A750" s="27"/>
      <c r="B750" s="28"/>
      <c r="D750" s="29"/>
    </row>
    <row r="751">
      <c r="A751" s="27"/>
      <c r="B751" s="28"/>
      <c r="D751" s="29"/>
    </row>
    <row r="752">
      <c r="A752" s="27"/>
      <c r="B752" s="28"/>
      <c r="D752" s="29"/>
    </row>
    <row r="753">
      <c r="A753" s="27"/>
      <c r="B753" s="28"/>
      <c r="D753" s="29"/>
    </row>
    <row r="754">
      <c r="A754" s="27"/>
      <c r="B754" s="28"/>
      <c r="D754" s="29"/>
    </row>
    <row r="755">
      <c r="A755" s="27"/>
      <c r="B755" s="28"/>
      <c r="D755" s="29"/>
    </row>
    <row r="756">
      <c r="A756" s="27"/>
      <c r="B756" s="28"/>
      <c r="D756" s="29"/>
    </row>
    <row r="757">
      <c r="A757" s="27"/>
      <c r="B757" s="28"/>
      <c r="D757" s="29"/>
    </row>
    <row r="758">
      <c r="A758" s="27"/>
      <c r="B758" s="28"/>
      <c r="D758" s="29"/>
    </row>
    <row r="759">
      <c r="A759" s="27"/>
      <c r="B759" s="28"/>
      <c r="D759" s="29"/>
    </row>
    <row r="760">
      <c r="A760" s="27"/>
      <c r="B760" s="28"/>
      <c r="D760" s="29"/>
    </row>
    <row r="761">
      <c r="A761" s="27"/>
      <c r="B761" s="28"/>
      <c r="D761" s="29"/>
    </row>
    <row r="762">
      <c r="A762" s="27"/>
      <c r="B762" s="28"/>
      <c r="D762" s="29"/>
    </row>
    <row r="763">
      <c r="A763" s="27"/>
      <c r="B763" s="28"/>
      <c r="D763" s="29"/>
    </row>
    <row r="764">
      <c r="A764" s="27"/>
      <c r="B764" s="28"/>
      <c r="D764" s="29"/>
    </row>
    <row r="765">
      <c r="A765" s="27"/>
      <c r="B765" s="28"/>
      <c r="D765" s="29"/>
    </row>
    <row r="766">
      <c r="A766" s="27"/>
      <c r="B766" s="28"/>
      <c r="D766" s="29"/>
    </row>
    <row r="767">
      <c r="A767" s="27"/>
      <c r="B767" s="28"/>
      <c r="D767" s="29"/>
    </row>
    <row r="768">
      <c r="A768" s="27"/>
      <c r="B768" s="28"/>
      <c r="D768" s="29"/>
    </row>
    <row r="769">
      <c r="A769" s="27"/>
      <c r="B769" s="28"/>
      <c r="D769" s="29"/>
    </row>
    <row r="770">
      <c r="A770" s="27"/>
      <c r="B770" s="28"/>
      <c r="D770" s="29"/>
    </row>
    <row r="771">
      <c r="A771" s="27"/>
      <c r="B771" s="28"/>
      <c r="D771" s="29"/>
    </row>
    <row r="772">
      <c r="A772" s="27"/>
      <c r="B772" s="28"/>
      <c r="D772" s="29"/>
    </row>
    <row r="773">
      <c r="A773" s="27"/>
      <c r="B773" s="28"/>
      <c r="D773" s="29"/>
    </row>
    <row r="774">
      <c r="A774" s="27"/>
      <c r="B774" s="28"/>
      <c r="D774" s="29"/>
    </row>
    <row r="775">
      <c r="A775" s="27"/>
      <c r="B775" s="28"/>
      <c r="D775" s="29"/>
    </row>
    <row r="776">
      <c r="A776" s="27"/>
      <c r="B776" s="28"/>
      <c r="D776" s="29"/>
    </row>
    <row r="777">
      <c r="A777" s="27"/>
      <c r="B777" s="28"/>
      <c r="D777" s="29"/>
    </row>
    <row r="778">
      <c r="A778" s="27"/>
      <c r="B778" s="28"/>
      <c r="D778" s="29"/>
    </row>
    <row r="779">
      <c r="A779" s="27"/>
      <c r="B779" s="28"/>
      <c r="D779" s="29"/>
    </row>
    <row r="780">
      <c r="A780" s="27"/>
      <c r="B780" s="28"/>
      <c r="D780" s="29"/>
    </row>
    <row r="781">
      <c r="A781" s="27"/>
      <c r="B781" s="28"/>
      <c r="D781" s="29"/>
    </row>
    <row r="782">
      <c r="A782" s="27"/>
      <c r="B782" s="28"/>
      <c r="D782" s="29"/>
    </row>
    <row r="783">
      <c r="A783" s="27"/>
      <c r="B783" s="28"/>
      <c r="D783" s="29"/>
    </row>
    <row r="784">
      <c r="A784" s="27"/>
      <c r="B784" s="28"/>
      <c r="D784" s="29"/>
    </row>
    <row r="785">
      <c r="A785" s="27"/>
      <c r="B785" s="28"/>
      <c r="D785" s="29"/>
    </row>
    <row r="786">
      <c r="A786" s="27"/>
      <c r="B786" s="28"/>
      <c r="D786" s="29"/>
    </row>
    <row r="787">
      <c r="A787" s="27"/>
      <c r="B787" s="28"/>
      <c r="D787" s="29"/>
    </row>
    <row r="788">
      <c r="A788" s="27"/>
      <c r="B788" s="28"/>
      <c r="D788" s="29"/>
    </row>
    <row r="789">
      <c r="A789" s="27"/>
      <c r="B789" s="28"/>
      <c r="D789" s="29"/>
    </row>
    <row r="790">
      <c r="A790" s="27"/>
      <c r="B790" s="28"/>
      <c r="D790" s="29"/>
    </row>
    <row r="791">
      <c r="A791" s="27"/>
      <c r="B791" s="28"/>
      <c r="D791" s="29"/>
    </row>
    <row r="792">
      <c r="A792" s="27"/>
      <c r="B792" s="28"/>
      <c r="D792" s="29"/>
    </row>
    <row r="793">
      <c r="A793" s="27"/>
      <c r="B793" s="28"/>
      <c r="D793" s="29"/>
    </row>
    <row r="794">
      <c r="A794" s="27"/>
      <c r="B794" s="28"/>
      <c r="D794" s="29"/>
    </row>
    <row r="795">
      <c r="A795" s="27"/>
      <c r="B795" s="28"/>
      <c r="D795" s="29"/>
    </row>
    <row r="796">
      <c r="A796" s="27"/>
      <c r="B796" s="28"/>
      <c r="D796" s="29"/>
    </row>
    <row r="797">
      <c r="A797" s="27"/>
      <c r="B797" s="28"/>
      <c r="D797" s="29"/>
    </row>
    <row r="798">
      <c r="A798" s="27"/>
      <c r="B798" s="28"/>
      <c r="D798" s="29"/>
    </row>
    <row r="799">
      <c r="A799" s="27"/>
      <c r="B799" s="28"/>
      <c r="D799" s="29"/>
    </row>
    <row r="800">
      <c r="A800" s="27"/>
      <c r="B800" s="28"/>
      <c r="D800" s="29"/>
    </row>
    <row r="801">
      <c r="A801" s="27"/>
      <c r="B801" s="28"/>
      <c r="D801" s="29"/>
    </row>
    <row r="802">
      <c r="A802" s="27"/>
      <c r="B802" s="28"/>
      <c r="D802" s="29"/>
    </row>
    <row r="803">
      <c r="A803" s="27"/>
      <c r="B803" s="28"/>
      <c r="D803" s="29"/>
    </row>
    <row r="804">
      <c r="A804" s="27"/>
      <c r="B804" s="28"/>
      <c r="D804" s="29"/>
    </row>
    <row r="805">
      <c r="A805" s="27"/>
      <c r="B805" s="28"/>
      <c r="D805" s="29"/>
    </row>
    <row r="806">
      <c r="A806" s="27"/>
      <c r="B806" s="28"/>
      <c r="D806" s="29"/>
    </row>
    <row r="807">
      <c r="A807" s="27"/>
      <c r="B807" s="28"/>
      <c r="D807" s="29"/>
    </row>
    <row r="808">
      <c r="A808" s="27"/>
      <c r="B808" s="28"/>
      <c r="D808" s="29"/>
    </row>
    <row r="809">
      <c r="A809" s="27"/>
      <c r="B809" s="28"/>
      <c r="D809" s="29"/>
    </row>
    <row r="810">
      <c r="A810" s="27"/>
      <c r="B810" s="28"/>
      <c r="D810" s="29"/>
    </row>
    <row r="811">
      <c r="A811" s="27"/>
      <c r="B811" s="28"/>
      <c r="D811" s="29"/>
    </row>
    <row r="812">
      <c r="A812" s="27"/>
      <c r="B812" s="28"/>
      <c r="D812" s="29"/>
    </row>
    <row r="813">
      <c r="A813" s="27"/>
      <c r="B813" s="28"/>
      <c r="D813" s="29"/>
    </row>
    <row r="814">
      <c r="A814" s="27"/>
      <c r="B814" s="28"/>
      <c r="D814" s="29"/>
    </row>
    <row r="815">
      <c r="A815" s="27"/>
      <c r="B815" s="28"/>
      <c r="D815" s="29"/>
    </row>
    <row r="816">
      <c r="A816" s="27"/>
      <c r="B816" s="28"/>
      <c r="D816" s="29"/>
    </row>
    <row r="817">
      <c r="A817" s="27"/>
      <c r="B817" s="28"/>
      <c r="D817" s="29"/>
    </row>
    <row r="818">
      <c r="A818" s="27"/>
      <c r="B818" s="28"/>
      <c r="D818" s="29"/>
    </row>
    <row r="819">
      <c r="A819" s="27"/>
      <c r="B819" s="28"/>
      <c r="D819" s="29"/>
    </row>
    <row r="820">
      <c r="A820" s="27"/>
      <c r="B820" s="28"/>
      <c r="D820" s="29"/>
    </row>
    <row r="821">
      <c r="A821" s="27"/>
      <c r="B821" s="28"/>
      <c r="D821" s="29"/>
    </row>
    <row r="822">
      <c r="A822" s="27"/>
      <c r="B822" s="28"/>
      <c r="D822" s="29"/>
    </row>
    <row r="823">
      <c r="A823" s="27"/>
      <c r="B823" s="28"/>
      <c r="D823" s="29"/>
    </row>
    <row r="824">
      <c r="A824" s="27"/>
      <c r="B824" s="28"/>
      <c r="D824" s="29"/>
    </row>
    <row r="825">
      <c r="A825" s="27"/>
      <c r="B825" s="28"/>
      <c r="D825" s="29"/>
    </row>
    <row r="826">
      <c r="A826" s="27"/>
      <c r="B826" s="28"/>
      <c r="D826" s="29"/>
    </row>
    <row r="827">
      <c r="A827" s="27"/>
      <c r="B827" s="28"/>
      <c r="D827" s="29"/>
    </row>
    <row r="828">
      <c r="A828" s="27"/>
      <c r="B828" s="28"/>
      <c r="D828" s="29"/>
    </row>
    <row r="829">
      <c r="A829" s="27"/>
      <c r="B829" s="28"/>
      <c r="D829" s="29"/>
    </row>
    <row r="830">
      <c r="A830" s="27"/>
      <c r="B830" s="28"/>
      <c r="D830" s="29"/>
    </row>
    <row r="831">
      <c r="A831" s="27"/>
      <c r="B831" s="28"/>
      <c r="D831" s="29"/>
    </row>
    <row r="832">
      <c r="A832" s="27"/>
      <c r="B832" s="28"/>
      <c r="D832" s="29"/>
    </row>
    <row r="833">
      <c r="A833" s="27"/>
      <c r="B833" s="28"/>
      <c r="D833" s="29"/>
    </row>
    <row r="834">
      <c r="A834" s="27"/>
      <c r="B834" s="28"/>
      <c r="D834" s="29"/>
    </row>
    <row r="835">
      <c r="A835" s="27"/>
      <c r="B835" s="28"/>
      <c r="D835" s="29"/>
    </row>
    <row r="836">
      <c r="A836" s="27"/>
      <c r="B836" s="28"/>
      <c r="D836" s="29"/>
    </row>
    <row r="837">
      <c r="A837" s="27"/>
      <c r="B837" s="28"/>
      <c r="D837" s="29"/>
    </row>
    <row r="838">
      <c r="A838" s="27"/>
      <c r="B838" s="28"/>
      <c r="D838" s="29"/>
    </row>
    <row r="839">
      <c r="A839" s="27"/>
      <c r="B839" s="28"/>
      <c r="D839" s="29"/>
    </row>
    <row r="840">
      <c r="A840" s="27"/>
      <c r="B840" s="28"/>
      <c r="D840" s="29"/>
    </row>
    <row r="841">
      <c r="A841" s="27"/>
      <c r="B841" s="28"/>
      <c r="D841" s="29"/>
    </row>
    <row r="842">
      <c r="A842" s="27"/>
      <c r="B842" s="28"/>
      <c r="D842" s="29"/>
    </row>
    <row r="843">
      <c r="A843" s="27"/>
      <c r="B843" s="28"/>
      <c r="D843" s="29"/>
    </row>
    <row r="844">
      <c r="A844" s="27"/>
      <c r="B844" s="28"/>
      <c r="D844" s="29"/>
    </row>
    <row r="845">
      <c r="A845" s="27"/>
      <c r="B845" s="28"/>
      <c r="D845" s="29"/>
    </row>
    <row r="846">
      <c r="A846" s="27"/>
      <c r="B846" s="28"/>
      <c r="D846" s="29"/>
    </row>
    <row r="847">
      <c r="A847" s="27"/>
      <c r="B847" s="28"/>
      <c r="D847" s="29"/>
    </row>
    <row r="848">
      <c r="A848" s="27"/>
      <c r="B848" s="28"/>
      <c r="D848" s="29"/>
    </row>
    <row r="849">
      <c r="A849" s="27"/>
      <c r="B849" s="28"/>
      <c r="D849" s="29"/>
    </row>
    <row r="850">
      <c r="A850" s="27"/>
      <c r="B850" s="28"/>
      <c r="D850" s="29"/>
    </row>
    <row r="851">
      <c r="A851" s="27"/>
      <c r="B851" s="28"/>
      <c r="D851" s="29"/>
    </row>
    <row r="852">
      <c r="A852" s="27"/>
      <c r="B852" s="28"/>
      <c r="D852" s="29"/>
    </row>
    <row r="853">
      <c r="A853" s="27"/>
      <c r="B853" s="28"/>
      <c r="D853" s="29"/>
    </row>
    <row r="854">
      <c r="A854" s="27"/>
      <c r="B854" s="28"/>
      <c r="D854" s="29"/>
    </row>
    <row r="855">
      <c r="A855" s="27"/>
      <c r="B855" s="28"/>
      <c r="D855" s="29"/>
    </row>
    <row r="856">
      <c r="A856" s="27"/>
      <c r="B856" s="28"/>
      <c r="D856" s="29"/>
    </row>
    <row r="857">
      <c r="A857" s="27"/>
      <c r="B857" s="28"/>
      <c r="D857" s="29"/>
    </row>
    <row r="858">
      <c r="A858" s="27"/>
      <c r="B858" s="28"/>
      <c r="D858" s="29"/>
    </row>
    <row r="859">
      <c r="A859" s="27"/>
      <c r="B859" s="28"/>
      <c r="D859" s="29"/>
    </row>
    <row r="860">
      <c r="A860" s="27"/>
      <c r="B860" s="28"/>
      <c r="D860" s="29"/>
    </row>
    <row r="861">
      <c r="A861" s="27"/>
      <c r="B861" s="28"/>
      <c r="D861" s="29"/>
    </row>
    <row r="862">
      <c r="A862" s="27"/>
      <c r="B862" s="28"/>
      <c r="D862" s="29"/>
    </row>
    <row r="863">
      <c r="A863" s="27"/>
      <c r="B863" s="28"/>
      <c r="D863" s="29"/>
    </row>
    <row r="864">
      <c r="A864" s="27"/>
      <c r="B864" s="28"/>
      <c r="D864" s="29"/>
    </row>
    <row r="865">
      <c r="A865" s="27"/>
      <c r="B865" s="28"/>
      <c r="D865" s="29"/>
    </row>
    <row r="866">
      <c r="A866" s="27"/>
      <c r="B866" s="28"/>
      <c r="D866" s="29"/>
    </row>
    <row r="867">
      <c r="A867" s="27"/>
      <c r="B867" s="28"/>
      <c r="D867" s="29"/>
    </row>
    <row r="868">
      <c r="A868" s="27"/>
      <c r="B868" s="28"/>
      <c r="D868" s="29"/>
    </row>
    <row r="869">
      <c r="A869" s="27"/>
      <c r="B869" s="28"/>
      <c r="D869" s="29"/>
    </row>
    <row r="870">
      <c r="A870" s="27"/>
      <c r="B870" s="28"/>
      <c r="D870" s="29"/>
    </row>
    <row r="871">
      <c r="A871" s="27"/>
      <c r="B871" s="28"/>
      <c r="D871" s="29"/>
    </row>
    <row r="872">
      <c r="A872" s="27"/>
      <c r="B872" s="28"/>
      <c r="D872" s="29"/>
    </row>
    <row r="873">
      <c r="A873" s="27"/>
      <c r="B873" s="28"/>
      <c r="D873" s="29"/>
    </row>
    <row r="874">
      <c r="A874" s="27"/>
      <c r="B874" s="28"/>
      <c r="D874" s="29"/>
    </row>
    <row r="875">
      <c r="A875" s="27"/>
      <c r="B875" s="28"/>
      <c r="D875" s="29"/>
    </row>
    <row r="876">
      <c r="A876" s="27"/>
      <c r="B876" s="28"/>
      <c r="D876" s="29"/>
    </row>
    <row r="877">
      <c r="A877" s="27"/>
      <c r="B877" s="28"/>
      <c r="D877" s="29"/>
    </row>
    <row r="878">
      <c r="A878" s="27"/>
      <c r="B878" s="28"/>
      <c r="D878" s="29"/>
    </row>
    <row r="879">
      <c r="A879" s="27"/>
      <c r="B879" s="28"/>
      <c r="D879" s="29"/>
    </row>
    <row r="880">
      <c r="A880" s="27"/>
      <c r="B880" s="28"/>
      <c r="D880" s="29"/>
    </row>
    <row r="881">
      <c r="A881" s="27"/>
      <c r="B881" s="28"/>
      <c r="D881" s="29"/>
    </row>
    <row r="882">
      <c r="A882" s="27"/>
      <c r="B882" s="28"/>
      <c r="D882" s="29"/>
    </row>
    <row r="883">
      <c r="A883" s="27"/>
      <c r="B883" s="28"/>
      <c r="D883" s="29"/>
    </row>
    <row r="884">
      <c r="A884" s="27"/>
      <c r="B884" s="28"/>
      <c r="D884" s="29"/>
    </row>
    <row r="885">
      <c r="A885" s="27"/>
      <c r="B885" s="28"/>
      <c r="D885" s="29"/>
    </row>
    <row r="886">
      <c r="A886" s="27"/>
      <c r="B886" s="28"/>
      <c r="D886" s="29"/>
    </row>
    <row r="887">
      <c r="A887" s="27"/>
      <c r="B887" s="28"/>
      <c r="D887" s="29"/>
    </row>
    <row r="888">
      <c r="A888" s="27"/>
      <c r="B888" s="28"/>
      <c r="D888" s="29"/>
    </row>
    <row r="889">
      <c r="A889" s="27"/>
      <c r="B889" s="28"/>
      <c r="D889" s="29"/>
    </row>
    <row r="890">
      <c r="A890" s="27"/>
      <c r="B890" s="28"/>
      <c r="D890" s="29"/>
    </row>
    <row r="891">
      <c r="A891" s="27"/>
      <c r="B891" s="28"/>
      <c r="D891" s="29"/>
    </row>
    <row r="892">
      <c r="A892" s="27"/>
      <c r="B892" s="28"/>
      <c r="D892" s="29"/>
    </row>
    <row r="893">
      <c r="A893" s="27"/>
      <c r="B893" s="28"/>
      <c r="D893" s="29"/>
    </row>
    <row r="894">
      <c r="A894" s="27"/>
      <c r="B894" s="28"/>
      <c r="D894" s="29"/>
    </row>
    <row r="895">
      <c r="A895" s="27"/>
      <c r="B895" s="28"/>
      <c r="D895" s="29"/>
    </row>
    <row r="896">
      <c r="A896" s="27"/>
      <c r="B896" s="28"/>
      <c r="D896" s="29"/>
    </row>
    <row r="897">
      <c r="A897" s="27"/>
      <c r="B897" s="28"/>
      <c r="D897" s="29"/>
    </row>
    <row r="898">
      <c r="A898" s="27"/>
      <c r="B898" s="28"/>
      <c r="D898" s="29"/>
    </row>
    <row r="899">
      <c r="A899" s="27"/>
      <c r="B899" s="28"/>
      <c r="D899" s="29"/>
    </row>
    <row r="900">
      <c r="A900" s="27"/>
      <c r="B900" s="28"/>
      <c r="D900" s="29"/>
    </row>
    <row r="901">
      <c r="A901" s="27"/>
      <c r="B901" s="28"/>
      <c r="D901" s="29"/>
    </row>
    <row r="902">
      <c r="A902" s="27"/>
      <c r="B902" s="28"/>
      <c r="D902" s="29"/>
    </row>
    <row r="903">
      <c r="A903" s="27"/>
      <c r="B903" s="28"/>
      <c r="D903" s="29"/>
    </row>
    <row r="904">
      <c r="A904" s="27"/>
      <c r="B904" s="28"/>
      <c r="D904" s="29"/>
    </row>
    <row r="905">
      <c r="A905" s="27"/>
      <c r="B905" s="28"/>
      <c r="D905" s="29"/>
    </row>
    <row r="906">
      <c r="A906" s="27"/>
      <c r="B906" s="28"/>
      <c r="D906" s="29"/>
    </row>
    <row r="907">
      <c r="A907" s="27"/>
      <c r="B907" s="28"/>
      <c r="D907" s="29"/>
    </row>
    <row r="908">
      <c r="A908" s="27"/>
      <c r="B908" s="28"/>
      <c r="D908" s="29"/>
    </row>
    <row r="909">
      <c r="A909" s="27"/>
      <c r="B909" s="28"/>
      <c r="D909" s="29"/>
    </row>
    <row r="910">
      <c r="A910" s="27"/>
      <c r="B910" s="28"/>
      <c r="D910" s="29"/>
    </row>
    <row r="911">
      <c r="A911" s="27"/>
      <c r="B911" s="28"/>
      <c r="D911" s="29"/>
    </row>
    <row r="912">
      <c r="A912" s="27"/>
      <c r="B912" s="28"/>
      <c r="D912" s="29"/>
    </row>
    <row r="913">
      <c r="A913" s="27"/>
      <c r="B913" s="28"/>
      <c r="D913" s="29"/>
    </row>
    <row r="914">
      <c r="A914" s="27"/>
      <c r="B914" s="28"/>
      <c r="D914" s="29"/>
    </row>
    <row r="915">
      <c r="A915" s="27"/>
      <c r="B915" s="28"/>
      <c r="D915" s="29"/>
    </row>
    <row r="916">
      <c r="A916" s="27"/>
      <c r="B916" s="28"/>
      <c r="D916" s="29"/>
    </row>
    <row r="917">
      <c r="A917" s="27"/>
      <c r="B917" s="28"/>
      <c r="D917" s="29"/>
    </row>
    <row r="918">
      <c r="A918" s="27"/>
      <c r="B918" s="28"/>
      <c r="D918" s="29"/>
    </row>
    <row r="919">
      <c r="A919" s="27"/>
      <c r="B919" s="28"/>
      <c r="D919" s="29"/>
    </row>
    <row r="920">
      <c r="A920" s="27"/>
      <c r="B920" s="28"/>
      <c r="D920" s="29"/>
    </row>
    <row r="921">
      <c r="A921" s="27"/>
      <c r="B921" s="28"/>
      <c r="D921" s="29"/>
    </row>
    <row r="922">
      <c r="A922" s="27"/>
      <c r="B922" s="28"/>
      <c r="D922" s="29"/>
    </row>
    <row r="923">
      <c r="A923" s="27"/>
      <c r="B923" s="28"/>
      <c r="D923" s="29"/>
    </row>
    <row r="924">
      <c r="A924" s="27"/>
      <c r="B924" s="28"/>
      <c r="D924" s="29"/>
    </row>
    <row r="925">
      <c r="A925" s="27"/>
      <c r="B925" s="28"/>
      <c r="D925" s="29"/>
    </row>
    <row r="926">
      <c r="A926" s="27"/>
      <c r="B926" s="28"/>
      <c r="D926" s="29"/>
    </row>
    <row r="927">
      <c r="A927" s="27"/>
      <c r="B927" s="28"/>
      <c r="D927" s="29"/>
    </row>
    <row r="928">
      <c r="A928" s="27"/>
      <c r="B928" s="28"/>
      <c r="D928" s="29"/>
    </row>
    <row r="929">
      <c r="A929" s="27"/>
      <c r="B929" s="28"/>
      <c r="D929" s="29"/>
    </row>
    <row r="930">
      <c r="A930" s="27"/>
      <c r="B930" s="28"/>
      <c r="D930" s="29"/>
    </row>
    <row r="931">
      <c r="A931" s="27"/>
      <c r="B931" s="28"/>
      <c r="D931" s="29"/>
    </row>
    <row r="932">
      <c r="A932" s="27"/>
      <c r="B932" s="28"/>
      <c r="D932" s="29"/>
    </row>
    <row r="933">
      <c r="A933" s="27"/>
      <c r="B933" s="28"/>
      <c r="D933" s="29"/>
    </row>
    <row r="934">
      <c r="A934" s="27"/>
      <c r="B934" s="28"/>
      <c r="D934" s="29"/>
    </row>
    <row r="935">
      <c r="A935" s="27"/>
      <c r="B935" s="28"/>
      <c r="D935" s="29"/>
    </row>
    <row r="936">
      <c r="A936" s="27"/>
      <c r="B936" s="28"/>
      <c r="D936" s="29"/>
    </row>
    <row r="937">
      <c r="A937" s="27"/>
      <c r="B937" s="28"/>
      <c r="D937" s="29"/>
    </row>
    <row r="938">
      <c r="A938" s="27"/>
      <c r="B938" s="28"/>
      <c r="D938" s="29"/>
    </row>
    <row r="939">
      <c r="A939" s="27"/>
      <c r="B939" s="28"/>
      <c r="D939" s="29"/>
    </row>
    <row r="940">
      <c r="A940" s="27"/>
      <c r="B940" s="28"/>
      <c r="D940" s="29"/>
    </row>
    <row r="941">
      <c r="A941" s="27"/>
      <c r="B941" s="28"/>
      <c r="D941" s="29"/>
    </row>
    <row r="942">
      <c r="A942" s="27"/>
      <c r="B942" s="28"/>
      <c r="D942" s="29"/>
    </row>
    <row r="943">
      <c r="A943" s="27"/>
      <c r="B943" s="28"/>
      <c r="D943" s="29"/>
    </row>
    <row r="944">
      <c r="A944" s="27"/>
      <c r="B944" s="28"/>
      <c r="D944" s="29"/>
    </row>
    <row r="945">
      <c r="A945" s="27"/>
      <c r="B945" s="28"/>
      <c r="D945" s="29"/>
    </row>
    <row r="946">
      <c r="A946" s="27"/>
      <c r="B946" s="28"/>
      <c r="D946" s="29"/>
    </row>
    <row r="947">
      <c r="A947" s="27"/>
      <c r="B947" s="28"/>
      <c r="D947" s="29"/>
    </row>
    <row r="948">
      <c r="A948" s="27"/>
      <c r="B948" s="28"/>
      <c r="D948" s="29"/>
    </row>
    <row r="949">
      <c r="A949" s="27"/>
      <c r="B949" s="28"/>
      <c r="D949" s="29"/>
    </row>
    <row r="950">
      <c r="A950" s="27"/>
      <c r="B950" s="28"/>
      <c r="D950" s="29"/>
    </row>
    <row r="951">
      <c r="A951" s="27"/>
      <c r="B951" s="28"/>
      <c r="D951" s="29"/>
    </row>
    <row r="952">
      <c r="A952" s="27"/>
      <c r="B952" s="28"/>
      <c r="D952" s="29"/>
    </row>
    <row r="953">
      <c r="A953" s="27"/>
      <c r="B953" s="28"/>
      <c r="D953" s="29"/>
    </row>
    <row r="954">
      <c r="A954" s="27"/>
      <c r="B954" s="28"/>
      <c r="D954" s="29"/>
    </row>
    <row r="955">
      <c r="A955" s="27"/>
      <c r="B955" s="28"/>
      <c r="D955" s="29"/>
    </row>
    <row r="956">
      <c r="A956" s="27"/>
      <c r="B956" s="28"/>
      <c r="D956" s="29"/>
    </row>
    <row r="957">
      <c r="A957" s="27"/>
      <c r="B957" s="28"/>
      <c r="D957" s="29"/>
    </row>
    <row r="958">
      <c r="A958" s="27"/>
      <c r="B958" s="28"/>
      <c r="D958" s="29"/>
    </row>
    <row r="959">
      <c r="A959" s="27"/>
      <c r="B959" s="28"/>
      <c r="D959" s="29"/>
    </row>
    <row r="960">
      <c r="A960" s="27"/>
      <c r="B960" s="28"/>
      <c r="D960" s="29"/>
    </row>
    <row r="961">
      <c r="A961" s="27"/>
      <c r="B961" s="28"/>
      <c r="D961" s="29"/>
    </row>
    <row r="962">
      <c r="A962" s="27"/>
      <c r="B962" s="28"/>
      <c r="D962" s="29"/>
    </row>
    <row r="963">
      <c r="A963" s="27"/>
      <c r="B963" s="28"/>
      <c r="D963" s="29"/>
    </row>
    <row r="964">
      <c r="A964" s="27"/>
      <c r="B964" s="28"/>
      <c r="D964" s="29"/>
    </row>
    <row r="965">
      <c r="A965" s="27"/>
      <c r="B965" s="28"/>
      <c r="D965" s="29"/>
    </row>
    <row r="966">
      <c r="A966" s="27"/>
      <c r="B966" s="28"/>
      <c r="D966" s="29"/>
    </row>
    <row r="967">
      <c r="A967" s="27"/>
      <c r="B967" s="28"/>
      <c r="D967" s="29"/>
    </row>
    <row r="968">
      <c r="A968" s="27"/>
      <c r="B968" s="28"/>
      <c r="D968" s="29"/>
    </row>
    <row r="969">
      <c r="A969" s="27"/>
      <c r="B969" s="28"/>
      <c r="D969" s="29"/>
    </row>
    <row r="970">
      <c r="A970" s="27"/>
      <c r="B970" s="28"/>
      <c r="D970" s="29"/>
    </row>
    <row r="971">
      <c r="A971" s="27"/>
      <c r="B971" s="28"/>
      <c r="D971" s="29"/>
    </row>
    <row r="972">
      <c r="A972" s="27"/>
      <c r="B972" s="28"/>
      <c r="D972" s="29"/>
    </row>
    <row r="973">
      <c r="A973" s="27"/>
      <c r="B973" s="28"/>
      <c r="D973" s="29"/>
    </row>
    <row r="974">
      <c r="A974" s="27"/>
      <c r="B974" s="28"/>
      <c r="D974" s="29"/>
    </row>
    <row r="975">
      <c r="A975" s="27"/>
      <c r="B975" s="28"/>
      <c r="D975" s="29"/>
    </row>
    <row r="976">
      <c r="A976" s="27"/>
      <c r="B976" s="28"/>
      <c r="D976" s="29"/>
    </row>
    <row r="977">
      <c r="A977" s="27"/>
      <c r="B977" s="28"/>
      <c r="D977" s="29"/>
    </row>
    <row r="978">
      <c r="A978" s="27"/>
      <c r="B978" s="28"/>
      <c r="D978" s="29"/>
    </row>
    <row r="979">
      <c r="A979" s="27"/>
      <c r="B979" s="28"/>
      <c r="D979" s="29"/>
    </row>
    <row r="980">
      <c r="A980" s="27"/>
      <c r="B980" s="28"/>
      <c r="D980" s="29"/>
    </row>
    <row r="981">
      <c r="A981" s="27"/>
      <c r="B981" s="28"/>
      <c r="D981" s="29"/>
    </row>
    <row r="982">
      <c r="A982" s="27"/>
      <c r="B982" s="28"/>
      <c r="D982" s="29"/>
    </row>
    <row r="983">
      <c r="A983" s="27"/>
      <c r="B983" s="28"/>
      <c r="D983" s="29"/>
    </row>
    <row r="984">
      <c r="A984" s="27"/>
      <c r="B984" s="28"/>
      <c r="D984" s="29"/>
    </row>
    <row r="985">
      <c r="A985" s="27"/>
      <c r="B985" s="28"/>
      <c r="D985" s="29"/>
    </row>
    <row r="986">
      <c r="A986" s="27"/>
      <c r="B986" s="28"/>
      <c r="D986" s="29"/>
    </row>
    <row r="987">
      <c r="A987" s="27"/>
      <c r="B987" s="28"/>
      <c r="D987" s="29"/>
    </row>
    <row r="988">
      <c r="A988" s="27"/>
      <c r="B988" s="28"/>
      <c r="D988" s="29"/>
    </row>
    <row r="989">
      <c r="A989" s="27"/>
      <c r="B989" s="28"/>
      <c r="D989" s="29"/>
    </row>
    <row r="990">
      <c r="A990" s="27"/>
      <c r="B990" s="28"/>
      <c r="D990" s="29"/>
    </row>
    <row r="991">
      <c r="A991" s="27"/>
      <c r="B991" s="28"/>
      <c r="D991" s="29"/>
    </row>
    <row r="992">
      <c r="A992" s="27"/>
      <c r="B992" s="28"/>
      <c r="D992" s="29"/>
    </row>
    <row r="993">
      <c r="A993" s="27"/>
      <c r="B993" s="28"/>
      <c r="D993" s="29"/>
    </row>
    <row r="994">
      <c r="A994" s="27"/>
      <c r="B994" s="28"/>
      <c r="D994" s="29"/>
    </row>
    <row r="995">
      <c r="A995" s="27"/>
      <c r="B995" s="28"/>
      <c r="D995" s="29"/>
    </row>
    <row r="996">
      <c r="A996" s="27"/>
      <c r="B996" s="28"/>
      <c r="D996" s="29"/>
    </row>
    <row r="997">
      <c r="A997" s="27"/>
      <c r="B997" s="28"/>
      <c r="D997" s="29"/>
    </row>
    <row r="998">
      <c r="A998" s="27"/>
      <c r="B998" s="28"/>
      <c r="D998" s="29"/>
    </row>
    <row r="999">
      <c r="A999" s="27"/>
      <c r="B999" s="28"/>
      <c r="D999" s="29"/>
    </row>
    <row r="1000">
      <c r="A1000" s="27"/>
      <c r="B1000" s="28"/>
      <c r="D1000" s="29"/>
    </row>
  </sheetData>
  <mergeCells count="1">
    <mergeCell ref="Q7:S8"/>
  </mergeCells>
  <conditionalFormatting sqref="D2:M476">
    <cfRule type="expression" dxfId="0" priority="1">
      <formula>$B2=1</formula>
    </cfRule>
  </conditionalFormatting>
  <conditionalFormatting sqref="D2:M476">
    <cfRule type="containsBlanks" dxfId="1" priority="2">
      <formula>LEN(TRIM(D2))=0</formula>
    </cfRule>
  </conditionalFormatting>
  <conditionalFormatting sqref="D2:M476">
    <cfRule type="notContainsBlanks" dxfId="2" priority="3">
      <formula>LEN(TRIM(D2))&gt;0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0"/>
    <col customWidth="1" min="9" max="9" width="14.75"/>
    <col customWidth="1" min="12" max="26" width="2.63"/>
  </cols>
  <sheetData>
    <row r="1">
      <c r="A1" s="30" t="s">
        <v>48</v>
      </c>
      <c r="B1" s="30" t="s">
        <v>49</v>
      </c>
      <c r="C1" s="30" t="s">
        <v>50</v>
      </c>
      <c r="D1" s="30" t="s">
        <v>51</v>
      </c>
      <c r="E1" s="30" t="s">
        <v>52</v>
      </c>
      <c r="G1" s="30" t="s">
        <v>53</v>
      </c>
      <c r="H1" s="30" t="s">
        <v>54</v>
      </c>
      <c r="I1" s="30" t="s">
        <v>55</v>
      </c>
      <c r="J1" s="30" t="s">
        <v>56</v>
      </c>
    </row>
    <row r="2">
      <c r="A2" s="30">
        <v>242128.0</v>
      </c>
      <c r="B2" s="30">
        <v>21.0</v>
      </c>
      <c r="C2" s="30">
        <v>1264.0</v>
      </c>
      <c r="D2" s="30">
        <v>1.0</v>
      </c>
      <c r="G2" s="30">
        <v>-20.0</v>
      </c>
      <c r="H2" s="30">
        <f>42</f>
        <v>42</v>
      </c>
      <c r="J2" s="30"/>
      <c r="L2" s="31">
        <v>1.0</v>
      </c>
      <c r="M2" s="31">
        <v>2.0</v>
      </c>
      <c r="N2" s="31">
        <v>3.0</v>
      </c>
      <c r="O2" s="31">
        <v>4.0</v>
      </c>
      <c r="P2" s="31">
        <v>5.0</v>
      </c>
      <c r="Q2" s="31">
        <v>6.0</v>
      </c>
      <c r="R2" s="31">
        <v>7.0</v>
      </c>
      <c r="S2" s="31">
        <v>8.0</v>
      </c>
      <c r="T2" s="31">
        <v>9.0</v>
      </c>
      <c r="U2" s="31">
        <v>10.0</v>
      </c>
      <c r="V2" s="31">
        <v>11.0</v>
      </c>
      <c r="W2" s="31">
        <v>12.0</v>
      </c>
      <c r="X2" s="31">
        <v>13.0</v>
      </c>
      <c r="Y2" s="31">
        <v>14.0</v>
      </c>
      <c r="Z2" s="31">
        <v>15.0</v>
      </c>
    </row>
    <row r="3">
      <c r="A3" s="30">
        <v>237377.0</v>
      </c>
      <c r="B3" s="30">
        <v>45.0</v>
      </c>
      <c r="C3" s="30">
        <v>1532.0</v>
      </c>
      <c r="G3" s="30">
        <v>-40.0</v>
      </c>
      <c r="H3" s="30">
        <v>42.0</v>
      </c>
      <c r="I3" s="30">
        <v>-8.0</v>
      </c>
      <c r="J3" s="30">
        <v>-20.0</v>
      </c>
      <c r="L3" s="32" t="s">
        <v>57</v>
      </c>
      <c r="M3" s="28"/>
      <c r="N3" s="32" t="s">
        <v>58</v>
      </c>
      <c r="O3" s="28"/>
      <c r="P3" s="32" t="s">
        <v>59</v>
      </c>
      <c r="Q3" s="31" t="s">
        <v>60</v>
      </c>
      <c r="R3" s="31" t="s">
        <v>60</v>
      </c>
      <c r="S3" s="31" t="s">
        <v>60</v>
      </c>
      <c r="T3" s="28"/>
      <c r="U3" s="28"/>
      <c r="V3" s="28"/>
      <c r="W3" s="28"/>
      <c r="X3" s="28"/>
      <c r="Y3" s="28"/>
      <c r="Z3" s="28"/>
    </row>
    <row r="4">
      <c r="A4" s="30">
        <v>233642.0</v>
      </c>
      <c r="B4" s="30">
        <v>50.0</v>
      </c>
      <c r="C4" s="30">
        <v>1701.0</v>
      </c>
      <c r="E4" s="30"/>
      <c r="G4" s="30">
        <v>-50.0</v>
      </c>
      <c r="H4" s="30">
        <v>43.5</v>
      </c>
      <c r="I4" s="30">
        <v>-8.0</v>
      </c>
      <c r="J4" s="30">
        <v>-20.0</v>
      </c>
    </row>
    <row r="5">
      <c r="A5" s="30">
        <v>229856.0</v>
      </c>
      <c r="B5" s="30">
        <v>51.0</v>
      </c>
      <c r="C5" s="30">
        <v>1563.0</v>
      </c>
      <c r="D5" s="30">
        <v>1.0</v>
      </c>
      <c r="G5" s="30">
        <v>-50.0</v>
      </c>
      <c r="H5" s="30">
        <v>45.0</v>
      </c>
      <c r="I5" s="30">
        <v>-8.0</v>
      </c>
    </row>
    <row r="6">
      <c r="A6" s="30">
        <v>225327.0</v>
      </c>
      <c r="B6" s="30">
        <v>52.0</v>
      </c>
      <c r="C6" s="30">
        <v>1611.0</v>
      </c>
      <c r="D6" s="30">
        <v>2.0</v>
      </c>
      <c r="G6" s="30">
        <v>-45.0</v>
      </c>
      <c r="H6" s="30">
        <v>50.0</v>
      </c>
    </row>
    <row r="7">
      <c r="A7" s="30">
        <v>221458.0</v>
      </c>
      <c r="B7" s="30">
        <v>50.0</v>
      </c>
      <c r="C7" s="30">
        <v>1290.0</v>
      </c>
      <c r="G7" s="30">
        <v>-50.0</v>
      </c>
      <c r="H7" s="30">
        <v>50.5</v>
      </c>
      <c r="J7" s="30">
        <v>-20.0</v>
      </c>
    </row>
    <row r="8">
      <c r="A8" s="30">
        <v>217716.0</v>
      </c>
      <c r="B8" s="30">
        <v>52.0</v>
      </c>
      <c r="C8" s="30">
        <v>1326.0</v>
      </c>
      <c r="D8" s="30">
        <v>2.0</v>
      </c>
      <c r="G8" s="30">
        <v>-50.0</v>
      </c>
      <c r="H8" s="30">
        <v>48.0</v>
      </c>
      <c r="J8" s="30">
        <v>-20.0</v>
      </c>
    </row>
    <row r="9">
      <c r="A9" s="30">
        <v>214114.0</v>
      </c>
      <c r="B9" s="30">
        <v>52.0</v>
      </c>
      <c r="C9" s="30">
        <v>1191.0</v>
      </c>
      <c r="D9" s="30">
        <v>2.0</v>
      </c>
      <c r="G9" s="30">
        <v>-50.0</v>
      </c>
      <c r="H9" s="30">
        <v>48.0</v>
      </c>
      <c r="I9" s="30">
        <v>-8.0</v>
      </c>
      <c r="J9" s="30">
        <v>-20.0</v>
      </c>
    </row>
    <row r="10">
      <c r="A10" s="30">
        <v>209302.0</v>
      </c>
      <c r="B10" s="30">
        <v>53.0</v>
      </c>
      <c r="C10" s="30">
        <v>1170.0</v>
      </c>
      <c r="D10" s="30">
        <v>3.0</v>
      </c>
      <c r="G10" s="30">
        <v>-50.0</v>
      </c>
      <c r="H10" s="30">
        <v>53.5</v>
      </c>
      <c r="J10" s="30">
        <v>-20.0</v>
      </c>
    </row>
    <row r="11">
      <c r="A11" s="30">
        <v>205394.0</v>
      </c>
      <c r="B11" s="30">
        <v>57.0</v>
      </c>
      <c r="C11" s="30">
        <v>1306.0</v>
      </c>
      <c r="D11" s="30">
        <v>7.0</v>
      </c>
      <c r="G11" s="30">
        <v>-45.0</v>
      </c>
      <c r="H11" s="30">
        <v>54.5</v>
      </c>
      <c r="J11" s="30">
        <v>-20.0</v>
      </c>
    </row>
    <row r="12">
      <c r="A12" s="30">
        <v>201642.0</v>
      </c>
      <c r="B12" s="30">
        <v>50.0</v>
      </c>
      <c r="C12" s="30">
        <v>1159.0</v>
      </c>
      <c r="G12" s="30">
        <v>-45.0</v>
      </c>
      <c r="H12" s="30">
        <v>54.5</v>
      </c>
      <c r="J12" s="30">
        <v>-20.0</v>
      </c>
    </row>
    <row r="13">
      <c r="A13" s="30">
        <v>198020.0</v>
      </c>
      <c r="B13" s="30">
        <v>50.0</v>
      </c>
      <c r="C13" s="30">
        <v>1095.0</v>
      </c>
      <c r="G13" s="30">
        <v>-50.0</v>
      </c>
      <c r="H13" s="30">
        <v>49.5</v>
      </c>
      <c r="J13" s="30">
        <v>-20.0</v>
      </c>
    </row>
    <row r="14">
      <c r="A14" s="30">
        <v>193915.0</v>
      </c>
      <c r="B14" s="30">
        <v>51.0</v>
      </c>
      <c r="C14" s="30">
        <v>1219.0</v>
      </c>
      <c r="D14" s="30">
        <v>1.0</v>
      </c>
      <c r="G14" s="30">
        <v>-50.0</v>
      </c>
      <c r="H14" s="30">
        <v>49.5</v>
      </c>
      <c r="J14" s="30">
        <v>-20.0</v>
      </c>
    </row>
    <row r="15">
      <c r="A15" s="30">
        <v>190555.0</v>
      </c>
      <c r="B15" s="30">
        <v>50.0</v>
      </c>
      <c r="C15" s="30">
        <v>1289.0</v>
      </c>
      <c r="G15" s="30">
        <v>-45.0</v>
      </c>
      <c r="H15" s="30">
        <v>54.5</v>
      </c>
      <c r="I15" s="30">
        <v>-8.0</v>
      </c>
    </row>
    <row r="16">
      <c r="A16" s="30">
        <v>187304.0</v>
      </c>
      <c r="B16" s="30">
        <v>52.0</v>
      </c>
      <c r="C16" s="30">
        <v>1504.0</v>
      </c>
      <c r="D16" s="30">
        <v>2.0</v>
      </c>
      <c r="G16" s="30">
        <v>-50.0</v>
      </c>
      <c r="H16" s="30">
        <v>49.5</v>
      </c>
    </row>
    <row r="17">
      <c r="A17" s="30">
        <v>183971.0</v>
      </c>
      <c r="B17" s="30">
        <v>50.0</v>
      </c>
      <c r="C17" s="30">
        <v>1267.0</v>
      </c>
      <c r="G17" s="30">
        <v>-45.0</v>
      </c>
      <c r="H17" s="30">
        <v>54.5</v>
      </c>
      <c r="I17" s="30">
        <v>-8.0</v>
      </c>
    </row>
    <row r="18">
      <c r="A18" s="30">
        <v>180895.0</v>
      </c>
      <c r="B18" s="30">
        <v>50.0</v>
      </c>
      <c r="C18" s="30">
        <v>1326.0</v>
      </c>
      <c r="G18" s="30">
        <v>-50.0</v>
      </c>
      <c r="H18" s="30">
        <v>49.5</v>
      </c>
      <c r="I18" s="30">
        <v>-8.0</v>
      </c>
    </row>
    <row r="21">
      <c r="A21" s="30" t="s">
        <v>61</v>
      </c>
    </row>
    <row r="22">
      <c r="A22" s="30">
        <v>250839.0</v>
      </c>
      <c r="B22" s="30">
        <v>0.0</v>
      </c>
      <c r="C22" s="30">
        <v>675.0</v>
      </c>
      <c r="G22" s="30">
        <v>5.0</v>
      </c>
      <c r="H22" s="30">
        <v>54.5</v>
      </c>
      <c r="I22" s="30">
        <v>-8.0</v>
      </c>
      <c r="J22" s="30">
        <v>-20.0</v>
      </c>
    </row>
    <row r="23">
      <c r="A23" s="30">
        <v>247194.0</v>
      </c>
      <c r="B23" s="30">
        <v>20.0</v>
      </c>
      <c r="C23" s="30">
        <v>964.0</v>
      </c>
      <c r="G23" s="30">
        <v>-15.0</v>
      </c>
      <c r="H23" s="30">
        <v>54.5</v>
      </c>
      <c r="J23" s="30">
        <v>-20.0</v>
      </c>
    </row>
    <row r="24">
      <c r="A24" s="30">
        <v>243498.0</v>
      </c>
      <c r="B24" s="30">
        <v>40.0</v>
      </c>
      <c r="C24" s="30">
        <v>1197.0</v>
      </c>
      <c r="G24" s="30">
        <v>-40.0</v>
      </c>
      <c r="H24" s="30">
        <v>49.5</v>
      </c>
      <c r="J24" s="30">
        <v>-20.0</v>
      </c>
    </row>
    <row r="25">
      <c r="A25" s="30">
        <v>240749.0</v>
      </c>
      <c r="B25" s="30">
        <v>50.0</v>
      </c>
      <c r="C25" s="30">
        <v>1144.0</v>
      </c>
      <c r="G25" s="30">
        <v>-45.0</v>
      </c>
      <c r="H25" s="30">
        <v>54.5</v>
      </c>
      <c r="I25" s="30">
        <v>-8.0</v>
      </c>
      <c r="J25" s="30">
        <v>-20.0</v>
      </c>
    </row>
    <row r="26">
      <c r="A26" s="30">
        <v>238370.0</v>
      </c>
      <c r="B26" s="30">
        <v>50.0</v>
      </c>
      <c r="C26" s="30">
        <v>1650.0</v>
      </c>
      <c r="E26" s="33">
        <f t="shared" ref="E26:E29" si="1">C26/A26*1000</f>
        <v>6.922011998</v>
      </c>
      <c r="G26" s="30">
        <v>-50.0</v>
      </c>
      <c r="H26" s="30">
        <v>49.5</v>
      </c>
    </row>
    <row r="27">
      <c r="A27" s="30">
        <v>235944.0</v>
      </c>
      <c r="B27" s="30">
        <v>51.0</v>
      </c>
      <c r="C27" s="30">
        <v>1664.0</v>
      </c>
      <c r="D27" s="30">
        <v>1.0</v>
      </c>
      <c r="E27" s="33">
        <f t="shared" si="1"/>
        <v>7.052520937</v>
      </c>
      <c r="G27" s="30">
        <v>-50.0</v>
      </c>
      <c r="H27" s="30">
        <v>49.5</v>
      </c>
    </row>
    <row r="28">
      <c r="A28" s="30">
        <v>233613.0</v>
      </c>
      <c r="B28" s="30">
        <v>51.0</v>
      </c>
      <c r="C28" s="30">
        <v>1656.0</v>
      </c>
      <c r="D28" s="30">
        <v>1.0</v>
      </c>
      <c r="E28" s="33">
        <f t="shared" si="1"/>
        <v>7.088646608</v>
      </c>
      <c r="G28" s="30">
        <v>-50.0</v>
      </c>
      <c r="H28" s="30">
        <v>49.5</v>
      </c>
    </row>
    <row r="29">
      <c r="A29" s="30">
        <v>231040.0</v>
      </c>
      <c r="B29" s="30">
        <v>51.0</v>
      </c>
      <c r="C29" s="30">
        <v>1647.0</v>
      </c>
      <c r="D29" s="30">
        <v>1.0</v>
      </c>
      <c r="E29" s="33">
        <f t="shared" si="1"/>
        <v>7.128635734</v>
      </c>
      <c r="G29" s="30">
        <v>-50.0</v>
      </c>
      <c r="H29" s="30">
        <v>49.5</v>
      </c>
    </row>
    <row r="30">
      <c r="A30" s="30">
        <v>228687.0</v>
      </c>
      <c r="B30" s="30">
        <v>51.0</v>
      </c>
      <c r="C30" s="30">
        <v>1198.0</v>
      </c>
      <c r="G30" s="30">
        <v>-50.0</v>
      </c>
      <c r="H30" s="30">
        <v>49.5</v>
      </c>
      <c r="I30" s="30">
        <v>-8.0</v>
      </c>
      <c r="J30" s="30">
        <v>-20.0</v>
      </c>
    </row>
    <row r="31">
      <c r="A31" s="30">
        <v>226531.0</v>
      </c>
      <c r="B31" s="30">
        <v>50.0</v>
      </c>
      <c r="C31" s="30">
        <v>1228.0</v>
      </c>
      <c r="G31" s="30">
        <v>-50.0</v>
      </c>
      <c r="H31" s="30">
        <v>54.5</v>
      </c>
      <c r="J31" s="30">
        <v>-20.0</v>
      </c>
    </row>
    <row r="32">
      <c r="A32" s="30">
        <v>224580.0</v>
      </c>
      <c r="B32" s="30">
        <v>52.0</v>
      </c>
      <c r="C32" s="30">
        <v>1263.0</v>
      </c>
      <c r="G32" s="30">
        <v>-45.0</v>
      </c>
      <c r="H32" s="30">
        <v>54.5</v>
      </c>
      <c r="J32" s="30">
        <v>-20.0</v>
      </c>
    </row>
    <row r="33">
      <c r="A33" s="30">
        <v>221839.0</v>
      </c>
      <c r="B33" s="30">
        <v>52.0</v>
      </c>
      <c r="C33" s="30">
        <v>1325.0</v>
      </c>
      <c r="G33" s="30">
        <v>-50.0</v>
      </c>
      <c r="H33" s="30">
        <v>49.5</v>
      </c>
      <c r="J33" s="30">
        <v>-20.0</v>
      </c>
    </row>
    <row r="34">
      <c r="A34" s="30">
        <v>219858.0</v>
      </c>
      <c r="B34" s="30">
        <v>51.0</v>
      </c>
      <c r="C34" s="30">
        <v>1298.0</v>
      </c>
      <c r="G34" s="30">
        <v>-50.0</v>
      </c>
      <c r="H34" s="30">
        <v>49.5</v>
      </c>
      <c r="J34" s="30">
        <v>-20.0</v>
      </c>
    </row>
    <row r="35">
      <c r="A35" s="30">
        <v>218000.0</v>
      </c>
      <c r="B35" s="30">
        <v>50.0</v>
      </c>
      <c r="C35" s="30">
        <v>1455.0</v>
      </c>
      <c r="E35" s="33">
        <f t="shared" ref="E35:E38" si="2">C35/A35*1000</f>
        <v>6.674311927</v>
      </c>
      <c r="F35" s="33">
        <f t="shared" ref="F35:F38" si="3">E35/B35</f>
        <v>0.1334862385</v>
      </c>
      <c r="G35" s="30">
        <v>-50.0</v>
      </c>
      <c r="H35" s="30">
        <v>49.5</v>
      </c>
      <c r="I35" s="30">
        <v>-8.0</v>
      </c>
    </row>
    <row r="36">
      <c r="A36" s="30">
        <v>216083.0</v>
      </c>
      <c r="B36" s="30">
        <v>50.0</v>
      </c>
      <c r="C36" s="30">
        <v>1449.0</v>
      </c>
      <c r="E36" s="33">
        <f t="shared" si="2"/>
        <v>6.705756584</v>
      </c>
      <c r="F36" s="33">
        <f t="shared" si="3"/>
        <v>0.1341151317</v>
      </c>
      <c r="G36" s="30">
        <v>-50.0</v>
      </c>
      <c r="H36" s="30">
        <v>49.5</v>
      </c>
      <c r="I36" s="30">
        <v>-8.0</v>
      </c>
    </row>
    <row r="37">
      <c r="A37" s="30">
        <v>214085.0</v>
      </c>
      <c r="B37" s="30">
        <v>50.0</v>
      </c>
      <c r="C37" s="30">
        <v>1437.0</v>
      </c>
      <c r="E37" s="33">
        <f t="shared" si="2"/>
        <v>6.712287176</v>
      </c>
      <c r="F37" s="33">
        <f t="shared" si="3"/>
        <v>0.1342457435</v>
      </c>
      <c r="G37" s="30">
        <v>-50.0</v>
      </c>
      <c r="H37" s="30">
        <v>49.5</v>
      </c>
      <c r="I37" s="30">
        <v>-8.0</v>
      </c>
    </row>
    <row r="38">
      <c r="A38" s="30">
        <v>212498.0</v>
      </c>
      <c r="B38" s="30">
        <v>53.0</v>
      </c>
      <c r="C38" s="30">
        <v>1501.0</v>
      </c>
      <c r="D38" s="30">
        <v>3.0</v>
      </c>
      <c r="E38" s="33">
        <f t="shared" si="2"/>
        <v>7.063595893</v>
      </c>
      <c r="F38" s="33">
        <f t="shared" si="3"/>
        <v>0.1332753942</v>
      </c>
      <c r="G38" s="30">
        <v>-50.0</v>
      </c>
      <c r="H38" s="30">
        <v>49.5</v>
      </c>
      <c r="I38" s="30">
        <v>-8.0</v>
      </c>
    </row>
    <row r="39">
      <c r="A39" s="30">
        <v>211058.0</v>
      </c>
      <c r="B39" s="30">
        <v>50.0</v>
      </c>
      <c r="C39" s="30">
        <v>1115.0</v>
      </c>
      <c r="G39" s="30">
        <v>-50.0</v>
      </c>
      <c r="H39" s="30">
        <v>53.5</v>
      </c>
      <c r="I39" s="30">
        <v>-8.0</v>
      </c>
      <c r="J39" s="30">
        <v>-20.0</v>
      </c>
    </row>
    <row r="40">
      <c r="A40" s="30">
        <v>209476.0</v>
      </c>
      <c r="B40" s="30">
        <v>52.0</v>
      </c>
      <c r="C40" s="30">
        <v>1220.0</v>
      </c>
      <c r="D40" s="30">
        <v>2.0</v>
      </c>
      <c r="G40" s="30">
        <v>-45.0</v>
      </c>
      <c r="H40" s="30">
        <v>54.5</v>
      </c>
      <c r="J40" s="30">
        <v>-20.0</v>
      </c>
    </row>
    <row r="41">
      <c r="A41" s="30">
        <v>208093.0</v>
      </c>
      <c r="B41" s="30">
        <v>54.0</v>
      </c>
      <c r="C41" s="30">
        <v>1203.0</v>
      </c>
      <c r="D41" s="30">
        <v>4.0</v>
      </c>
      <c r="G41" s="30">
        <v>-50.0</v>
      </c>
      <c r="H41" s="30">
        <v>49.5</v>
      </c>
      <c r="I41" s="30">
        <v>-8.0</v>
      </c>
      <c r="J41" s="30">
        <v>-20.0</v>
      </c>
    </row>
    <row r="42">
      <c r="A42" s="30">
        <v>206518.0</v>
      </c>
      <c r="B42" s="30">
        <v>54.0</v>
      </c>
      <c r="C42" s="30">
        <v>1173.0</v>
      </c>
      <c r="G42" s="30">
        <v>-45.0</v>
      </c>
      <c r="H42" s="30">
        <v>54.5</v>
      </c>
      <c r="J42" s="30">
        <v>-20.0</v>
      </c>
    </row>
    <row r="43">
      <c r="A43" s="30">
        <v>205264.0</v>
      </c>
      <c r="B43" s="30">
        <v>53.0</v>
      </c>
      <c r="C43" s="30">
        <v>1574.0</v>
      </c>
      <c r="D43" s="30">
        <v>3.0</v>
      </c>
      <c r="G43" s="30">
        <v>-50.0</v>
      </c>
      <c r="H43" s="30">
        <v>53.5</v>
      </c>
    </row>
    <row r="44">
      <c r="A44" s="30">
        <v>203940.0</v>
      </c>
      <c r="B44" s="30">
        <v>51.0</v>
      </c>
      <c r="C44" s="30">
        <v>1428.0</v>
      </c>
      <c r="D44" s="30">
        <v>1.0</v>
      </c>
      <c r="G44" s="30">
        <v>-50.0</v>
      </c>
      <c r="H44" s="30">
        <v>49.5</v>
      </c>
      <c r="I44" s="30">
        <v>-8.0</v>
      </c>
    </row>
    <row r="45">
      <c r="A45" s="30">
        <v>202487.0</v>
      </c>
      <c r="B45" s="30">
        <v>20.0</v>
      </c>
      <c r="C45" s="30">
        <v>872.0</v>
      </c>
      <c r="G45" s="30">
        <v>-20.0</v>
      </c>
      <c r="H45" s="30">
        <v>49.5</v>
      </c>
      <c r="J45" s="30">
        <v>-20.0</v>
      </c>
    </row>
    <row r="47">
      <c r="A47" s="30" t="s">
        <v>62</v>
      </c>
    </row>
    <row r="48">
      <c r="C48" s="30">
        <v>10.0</v>
      </c>
      <c r="E48" s="30">
        <v>7.0</v>
      </c>
    </row>
    <row r="49">
      <c r="A49" s="30" t="s">
        <v>63</v>
      </c>
      <c r="B49" s="30" t="s">
        <v>64</v>
      </c>
      <c r="C49" s="30" t="s">
        <v>65</v>
      </c>
      <c r="D49" s="30" t="s">
        <v>66</v>
      </c>
      <c r="E49" s="30" t="s">
        <v>67</v>
      </c>
    </row>
    <row r="50">
      <c r="A50" s="30">
        <v>303097.0</v>
      </c>
      <c r="B50" s="30">
        <v>31.0</v>
      </c>
      <c r="C50" s="30">
        <v>39.0</v>
      </c>
      <c r="D50" s="30">
        <v>24.0</v>
      </c>
      <c r="E50" s="30">
        <v>-20.0</v>
      </c>
    </row>
    <row r="51">
      <c r="A51" s="30">
        <v>298315.0</v>
      </c>
      <c r="B51" s="30">
        <v>42.5</v>
      </c>
      <c r="C51" s="30">
        <v>51.0</v>
      </c>
      <c r="D51" s="30">
        <v>27.0</v>
      </c>
      <c r="E51" s="30">
        <v>-40.0</v>
      </c>
    </row>
    <row r="52">
      <c r="A52" s="30">
        <v>295491.0</v>
      </c>
      <c r="B52" s="30">
        <v>53.0</v>
      </c>
      <c r="C52" s="30">
        <v>57.0</v>
      </c>
      <c r="D52" s="30">
        <v>30.0</v>
      </c>
      <c r="E52" s="30">
        <v>-50.0</v>
      </c>
    </row>
    <row r="53">
      <c r="A53" s="30">
        <v>268702.0</v>
      </c>
      <c r="B53" s="30">
        <v>23.0</v>
      </c>
      <c r="C53" s="30">
        <v>36.0</v>
      </c>
      <c r="D53" s="30">
        <v>24.0</v>
      </c>
      <c r="E53" s="30">
        <v>-20.0</v>
      </c>
    </row>
    <row r="54">
      <c r="A54" s="30">
        <v>267498.0</v>
      </c>
      <c r="B54" s="30">
        <v>43.0</v>
      </c>
      <c r="C54" s="30">
        <v>48.0</v>
      </c>
      <c r="D54" s="30">
        <v>27.0</v>
      </c>
      <c r="E54" s="30">
        <v>-40.0</v>
      </c>
    </row>
    <row r="55">
      <c r="A55" s="30">
        <v>266577.0</v>
      </c>
      <c r="B55" s="30">
        <v>53.0</v>
      </c>
      <c r="C55" s="30">
        <v>54.0</v>
      </c>
      <c r="D55" s="30">
        <v>27.0</v>
      </c>
      <c r="E55" s="30">
        <v>-40.0</v>
      </c>
      <c r="J55" s="30">
        <v>1700.0</v>
      </c>
      <c r="K55" s="33">
        <f>J55*(1+0.4*50/100)</f>
        <v>2040</v>
      </c>
    </row>
    <row r="59">
      <c r="C59" s="30">
        <v>25.0</v>
      </c>
      <c r="E59" s="30">
        <v>32.0</v>
      </c>
    </row>
    <row r="60">
      <c r="A60" s="30" t="s">
        <v>63</v>
      </c>
      <c r="B60" s="30" t="s">
        <v>64</v>
      </c>
      <c r="C60" s="30" t="s">
        <v>65</v>
      </c>
      <c r="D60" s="30" t="s">
        <v>66</v>
      </c>
      <c r="E60" s="30" t="s">
        <v>67</v>
      </c>
    </row>
    <row r="61">
      <c r="A61" s="30">
        <v>240604.0</v>
      </c>
      <c r="B61" s="30">
        <v>23.0</v>
      </c>
      <c r="C61" s="30">
        <v>25.0</v>
      </c>
      <c r="D61" s="30">
        <v>32.0</v>
      </c>
      <c r="E61" s="30">
        <v>0.0</v>
      </c>
    </row>
    <row r="62">
      <c r="A62" s="30">
        <v>187168.0</v>
      </c>
      <c r="B62" s="30">
        <v>138.0</v>
      </c>
      <c r="C62" s="30">
        <v>63.0</v>
      </c>
      <c r="D62" s="30">
        <v>41.0</v>
      </c>
      <c r="E62" s="30">
        <v>-20.0</v>
      </c>
    </row>
    <row r="63">
      <c r="A63" s="30">
        <v>180309.0</v>
      </c>
      <c r="B63" s="30">
        <v>183.0</v>
      </c>
      <c r="C63" s="30">
        <v>76.0</v>
      </c>
      <c r="D63" s="30">
        <v>42.0</v>
      </c>
      <c r="E63" s="30">
        <v>-40.0</v>
      </c>
    </row>
    <row r="64">
      <c r="A64" s="30">
        <v>179355.0</v>
      </c>
      <c r="B64" s="30">
        <v>123.0</v>
      </c>
      <c r="C64" s="30">
        <v>66.0</v>
      </c>
      <c r="D64" s="30">
        <v>46.0</v>
      </c>
      <c r="E64" s="30">
        <v>-40.0</v>
      </c>
    </row>
    <row r="65">
      <c r="A65" s="30">
        <v>163275.0</v>
      </c>
      <c r="B65" s="30">
        <v>118.0</v>
      </c>
      <c r="C65" s="30">
        <v>55.0</v>
      </c>
      <c r="D65" s="30">
        <v>39.0</v>
      </c>
      <c r="E65" s="30">
        <v>-50.0</v>
      </c>
    </row>
    <row r="66">
      <c r="A66" s="30">
        <v>160104.0</v>
      </c>
      <c r="B66" s="30">
        <v>13.0</v>
      </c>
      <c r="C66" s="30">
        <v>18.0</v>
      </c>
      <c r="D66" s="30">
        <v>25.0</v>
      </c>
      <c r="E66" s="30">
        <v>0.0</v>
      </c>
    </row>
    <row r="67">
      <c r="A67" s="30">
        <v>155498.0</v>
      </c>
      <c r="B67" s="30">
        <v>53.0</v>
      </c>
      <c r="C67" s="30">
        <v>33.0</v>
      </c>
      <c r="D67" s="30">
        <v>33.0</v>
      </c>
      <c r="E67" s="30">
        <v>-20.0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63"/>
  </cols>
  <sheetData>
    <row r="1">
      <c r="A1" s="30"/>
      <c r="B1" s="30">
        <v>1.0</v>
      </c>
      <c r="C1" s="30">
        <v>2.0</v>
      </c>
      <c r="D1" s="30">
        <v>3.0</v>
      </c>
      <c r="E1" s="30">
        <v>4.0</v>
      </c>
      <c r="F1" s="30">
        <v>5.0</v>
      </c>
      <c r="G1" s="30">
        <v>6.0</v>
      </c>
      <c r="H1" s="30">
        <v>7.0</v>
      </c>
      <c r="I1" s="30">
        <v>8.0</v>
      </c>
      <c r="J1" s="30">
        <v>9.0</v>
      </c>
      <c r="K1" s="30">
        <v>10.0</v>
      </c>
      <c r="L1" s="30">
        <v>11.0</v>
      </c>
      <c r="M1" s="30">
        <v>12.0</v>
      </c>
      <c r="N1" s="30">
        <v>13.0</v>
      </c>
      <c r="O1" s="30">
        <v>14.0</v>
      </c>
      <c r="P1" s="30">
        <v>15.0</v>
      </c>
      <c r="Q1" s="30">
        <v>16.0</v>
      </c>
      <c r="R1" s="30">
        <v>17.0</v>
      </c>
      <c r="S1" s="30">
        <v>18.0</v>
      </c>
      <c r="T1" s="30">
        <v>19.0</v>
      </c>
      <c r="U1" s="30">
        <v>20.0</v>
      </c>
      <c r="V1" s="30">
        <v>21.0</v>
      </c>
      <c r="W1" s="30">
        <v>22.0</v>
      </c>
      <c r="X1" s="30">
        <v>23.0</v>
      </c>
      <c r="Y1" s="30">
        <v>24.0</v>
      </c>
      <c r="Z1" s="30">
        <v>25.0</v>
      </c>
    </row>
    <row r="2">
      <c r="A2" s="30" t="s">
        <v>68</v>
      </c>
      <c r="B2" s="30" t="s">
        <v>69</v>
      </c>
      <c r="C2" s="30" t="s">
        <v>69</v>
      </c>
      <c r="D2" s="30" t="s">
        <v>69</v>
      </c>
      <c r="E2" s="30" t="s">
        <v>69</v>
      </c>
      <c r="F2" s="30" t="s">
        <v>69</v>
      </c>
      <c r="G2" s="30" t="s">
        <v>69</v>
      </c>
      <c r="H2" s="30" t="s">
        <v>69</v>
      </c>
      <c r="M2" s="30" t="s">
        <v>69</v>
      </c>
      <c r="N2" s="30" t="s">
        <v>69</v>
      </c>
      <c r="O2" s="30" t="s">
        <v>69</v>
      </c>
      <c r="P2" s="30" t="s">
        <v>69</v>
      </c>
      <c r="Q2" s="30" t="s">
        <v>69</v>
      </c>
      <c r="R2" s="30" t="s">
        <v>69</v>
      </c>
      <c r="S2" s="30" t="s">
        <v>69</v>
      </c>
    </row>
    <row r="3">
      <c r="A3" s="30" t="s">
        <v>70</v>
      </c>
      <c r="D3" s="30" t="s">
        <v>69</v>
      </c>
      <c r="E3" s="30" t="s">
        <v>69</v>
      </c>
      <c r="F3" s="30" t="s">
        <v>69</v>
      </c>
      <c r="G3" s="30" t="s">
        <v>69</v>
      </c>
      <c r="H3" s="30" t="s">
        <v>69</v>
      </c>
      <c r="I3" s="30" t="s">
        <v>69</v>
      </c>
      <c r="J3" s="30" t="s">
        <v>69</v>
      </c>
      <c r="O3" s="30" t="s">
        <v>69</v>
      </c>
      <c r="P3" s="30" t="s">
        <v>69</v>
      </c>
      <c r="Q3" s="30" t="s">
        <v>69</v>
      </c>
      <c r="R3" s="30" t="s">
        <v>69</v>
      </c>
      <c r="S3" s="30" t="s">
        <v>69</v>
      </c>
      <c r="T3" s="30" t="s">
        <v>69</v>
      </c>
      <c r="U3" s="30" t="s">
        <v>69</v>
      </c>
    </row>
    <row r="4">
      <c r="A4" s="30" t="s">
        <v>71</v>
      </c>
      <c r="G4" s="30" t="s">
        <v>69</v>
      </c>
      <c r="H4" s="30" t="s">
        <v>69</v>
      </c>
      <c r="I4" s="30" t="s">
        <v>69</v>
      </c>
      <c r="J4" s="30" t="s">
        <v>69</v>
      </c>
      <c r="K4" s="30" t="s">
        <v>69</v>
      </c>
      <c r="L4" s="30" t="s">
        <v>69</v>
      </c>
      <c r="M4" s="30" t="s">
        <v>69</v>
      </c>
      <c r="R4" s="30" t="s">
        <v>69</v>
      </c>
      <c r="S4" s="30" t="s">
        <v>69</v>
      </c>
      <c r="T4" s="30" t="s">
        <v>69</v>
      </c>
      <c r="U4" s="30" t="s">
        <v>69</v>
      </c>
      <c r="V4" s="30" t="s">
        <v>69</v>
      </c>
      <c r="W4" s="30" t="s">
        <v>69</v>
      </c>
      <c r="X4" s="30" t="s">
        <v>69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6" max="6" width="12.63"/>
    <col customWidth="1" min="7" max="7" width="12.25"/>
    <col customWidth="1" min="8" max="8" width="17.63"/>
    <col customWidth="1" min="9" max="9" width="18.38"/>
  </cols>
  <sheetData>
    <row r="1">
      <c r="B1" s="34" t="s">
        <v>72</v>
      </c>
      <c r="C1" s="34" t="s">
        <v>73</v>
      </c>
      <c r="D1" s="34" t="s">
        <v>74</v>
      </c>
      <c r="E1" s="34" t="s">
        <v>75</v>
      </c>
      <c r="F1" s="34" t="s">
        <v>76</v>
      </c>
      <c r="G1" s="34" t="s">
        <v>77</v>
      </c>
      <c r="H1" s="34" t="s">
        <v>78</v>
      </c>
      <c r="I1" s="34" t="s">
        <v>79</v>
      </c>
      <c r="J1" s="35"/>
    </row>
    <row r="2">
      <c r="A2" s="36" t="s">
        <v>80</v>
      </c>
      <c r="B2" s="37">
        <v>7.267411153E9</v>
      </c>
      <c r="C2" s="37">
        <v>3.32037045E8</v>
      </c>
      <c r="D2" s="37">
        <v>7.322560183E9</v>
      </c>
      <c r="E2" s="37">
        <v>3.50439973E8</v>
      </c>
      <c r="F2" s="37">
        <v>7.139517492E9</v>
      </c>
      <c r="G2" s="37">
        <v>3.74079785E8</v>
      </c>
      <c r="H2" s="38"/>
      <c r="I2" s="38"/>
    </row>
    <row r="3">
      <c r="A3" s="39" t="s">
        <v>81</v>
      </c>
      <c r="B3" s="40">
        <v>5.715053934E9</v>
      </c>
      <c r="C3" s="40">
        <v>1.45696594E8</v>
      </c>
      <c r="D3" s="40">
        <v>5.894917359E9</v>
      </c>
      <c r="E3" s="40">
        <v>1.66604907E8</v>
      </c>
      <c r="F3" s="40">
        <v>5.737534942E9</v>
      </c>
      <c r="G3" s="40">
        <v>1.89952309E8</v>
      </c>
      <c r="H3" s="41"/>
      <c r="I3" s="41"/>
    </row>
    <row r="8">
      <c r="B8" s="30" t="s">
        <v>82</v>
      </c>
      <c r="C8" s="30" t="s">
        <v>83</v>
      </c>
    </row>
    <row r="9">
      <c r="A9" s="30">
        <v>1880.0</v>
      </c>
      <c r="B9" s="30">
        <v>286.0</v>
      </c>
      <c r="C9" s="30">
        <v>6.0</v>
      </c>
      <c r="D9" s="33">
        <f>B9+C9*5</f>
        <v>316</v>
      </c>
      <c r="E9" s="33">
        <f>D9/A9</f>
        <v>0.1680851064</v>
      </c>
    </row>
    <row r="11">
      <c r="A11" s="30">
        <v>100.0</v>
      </c>
      <c r="B11" s="30">
        <v>500.0</v>
      </c>
      <c r="C11" s="30">
        <v>1000.0</v>
      </c>
    </row>
    <row r="12">
      <c r="A12" s="30">
        <v>400.0</v>
      </c>
      <c r="B12" s="30">
        <v>36.0</v>
      </c>
      <c r="C12" s="30">
        <v>8.0</v>
      </c>
      <c r="D12" s="33">
        <f>A11*A12+B11*B12+C11*C12</f>
        <v>66000</v>
      </c>
      <c r="E12" s="33">
        <f>D12/20150*100*30</f>
        <v>9826.30273</v>
      </c>
      <c r="F12" s="33">
        <f>E12/60</f>
        <v>163.7717122</v>
      </c>
    </row>
    <row r="13">
      <c r="A13" s="42">
        <v>71.0</v>
      </c>
      <c r="B13" s="42">
        <v>114.0</v>
      </c>
      <c r="C13" s="42">
        <v>0.0</v>
      </c>
      <c r="D13" s="33">
        <f>A11*A13+B11*B13+C11*C13</f>
        <v>64100</v>
      </c>
    </row>
    <row r="15">
      <c r="A15" s="30" t="s">
        <v>84</v>
      </c>
      <c r="B15" s="33">
        <f>4+5+6+4+8</f>
        <v>27</v>
      </c>
    </row>
    <row r="16">
      <c r="A16" s="30" t="s">
        <v>85</v>
      </c>
      <c r="B16" s="33">
        <f>6*5</f>
        <v>30</v>
      </c>
    </row>
    <row r="17">
      <c r="B17" s="33">
        <f>SUM(B15:B16)</f>
        <v>57</v>
      </c>
    </row>
    <row r="18">
      <c r="G18" s="42">
        <v>385.0</v>
      </c>
      <c r="H18" s="42">
        <v>97250.0</v>
      </c>
    </row>
    <row r="19">
      <c r="A19" s="42">
        <v>40.0</v>
      </c>
      <c r="B19" s="42">
        <v>150.0</v>
      </c>
      <c r="D19" s="42">
        <f>(50+48+46+44+42+(40*95))/100</f>
        <v>40.3</v>
      </c>
      <c r="G19" s="42">
        <v>525000.0</v>
      </c>
      <c r="H19" s="33">
        <f>H18/2100</f>
        <v>46.30952381</v>
      </c>
    </row>
    <row r="20">
      <c r="A20" s="42">
        <v>1100.0</v>
      </c>
      <c r="B20" s="42">
        <v>4000.0</v>
      </c>
      <c r="H20" s="33">
        <f>1600*H19*10</f>
        <v>740952.381</v>
      </c>
    </row>
    <row r="21">
      <c r="A21" s="43">
        <f>D12/A19*A20</f>
        <v>1815000</v>
      </c>
      <c r="B21" s="43">
        <f>D12/B19*B20</f>
        <v>1760000</v>
      </c>
      <c r="G21" s="44">
        <f>G19+H20</f>
        <v>1265952.381</v>
      </c>
    </row>
    <row r="25">
      <c r="A25" s="42">
        <f>4000/150</f>
        <v>26.66666667</v>
      </c>
      <c r="B25" s="33">
        <f>1100/40.3</f>
        <v>27.29528536</v>
      </c>
    </row>
    <row r="26">
      <c r="G26" s="42">
        <v>5464.0</v>
      </c>
      <c r="H26" s="42">
        <v>4756.0</v>
      </c>
      <c r="I26" s="33">
        <f t="shared" ref="I26:I29" si="1">G26-H26</f>
        <v>708</v>
      </c>
      <c r="K26" s="33">
        <f>3369+3567</f>
        <v>6936</v>
      </c>
    </row>
    <row r="27">
      <c r="G27" s="42">
        <v>16638.0</v>
      </c>
      <c r="H27" s="42">
        <v>13098.0</v>
      </c>
      <c r="I27" s="33">
        <f t="shared" si="1"/>
        <v>3540</v>
      </c>
      <c r="K27" s="33">
        <f>3637+3851</f>
        <v>7488</v>
      </c>
    </row>
    <row r="28">
      <c r="A28" s="42">
        <v>30.0</v>
      </c>
      <c r="B28" s="42">
        <v>2.8</v>
      </c>
      <c r="C28" s="33">
        <f t="shared" ref="C28:C30" si="2">B28/A28</f>
        <v>0.09333333333</v>
      </c>
      <c r="D28" s="33">
        <f>21860*C28</f>
        <v>2040.266667</v>
      </c>
      <c r="G28" s="42">
        <v>3636.0</v>
      </c>
      <c r="H28" s="42">
        <v>2928.0</v>
      </c>
      <c r="I28" s="33">
        <f t="shared" si="1"/>
        <v>708</v>
      </c>
    </row>
    <row r="29">
      <c r="A29" s="42">
        <v>210.0</v>
      </c>
      <c r="B29" s="42">
        <v>10.0</v>
      </c>
      <c r="C29" s="33">
        <f t="shared" si="2"/>
        <v>0.04761904762</v>
      </c>
      <c r="D29" s="33">
        <f>117000*C28</f>
        <v>10920</v>
      </c>
      <c r="G29" s="42">
        <v>11970.0</v>
      </c>
      <c r="H29" s="42">
        <v>9279.0</v>
      </c>
      <c r="I29" s="33">
        <f t="shared" si="1"/>
        <v>2691</v>
      </c>
    </row>
    <row r="30">
      <c r="C30" s="33" t="str">
        <f t="shared" si="2"/>
        <v>#DIV/0!</v>
      </c>
      <c r="D30" s="33">
        <f>33000*C28</f>
        <v>3080</v>
      </c>
      <c r="I30" s="33">
        <f>sum(I26:I29)</f>
        <v>7647</v>
      </c>
      <c r="K30" s="42">
        <v>1250.0</v>
      </c>
      <c r="L30" s="42">
        <v>5.0</v>
      </c>
    </row>
    <row r="31">
      <c r="C31" s="33" t="str">
        <f>(C30+C28)/2</f>
        <v>#DIV/0!</v>
      </c>
      <c r="D31" s="45">
        <f>423310*C28</f>
        <v>39508.93333</v>
      </c>
      <c r="K31" s="33">
        <f>I33/K30*L30</f>
        <v>2100</v>
      </c>
    </row>
    <row r="32">
      <c r="G32" s="42">
        <v>2100.0</v>
      </c>
      <c r="H32" s="42">
        <v>16000.0</v>
      </c>
      <c r="I32" s="46">
        <v>4000000.0</v>
      </c>
    </row>
    <row r="33">
      <c r="I33" s="33">
        <f>I32/H32*G32</f>
        <v>525000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47" t="s">
        <v>86</v>
      </c>
      <c r="B1" s="47" t="s">
        <v>87</v>
      </c>
      <c r="C1" s="47" t="s">
        <v>87</v>
      </c>
      <c r="D1" s="47" t="s">
        <v>88</v>
      </c>
      <c r="E1" s="47" t="s">
        <v>89</v>
      </c>
      <c r="F1" s="47" t="s">
        <v>90</v>
      </c>
    </row>
    <row r="2">
      <c r="A2" s="48" t="s">
        <v>91</v>
      </c>
      <c r="B2" s="48">
        <v>12320.0</v>
      </c>
      <c r="C2" s="49">
        <f t="shared" ref="C2:C12" si="1">B2*1.1</f>
        <v>13552</v>
      </c>
      <c r="D2" s="48">
        <v>27249.0</v>
      </c>
      <c r="E2" s="50">
        <f t="shared" ref="E2:E12" si="2">D2*0.8</f>
        <v>21799.2</v>
      </c>
      <c r="F2" s="51">
        <f t="shared" ref="F2:F12" si="3">E2-C2</f>
        <v>8247.2</v>
      </c>
    </row>
    <row r="3">
      <c r="A3" s="48" t="s">
        <v>92</v>
      </c>
      <c r="B3" s="48">
        <v>19842.0</v>
      </c>
      <c r="C3" s="49">
        <f t="shared" si="1"/>
        <v>21826.2</v>
      </c>
      <c r="D3" s="48">
        <v>28000.0</v>
      </c>
      <c r="E3" s="50">
        <f t="shared" si="2"/>
        <v>22400</v>
      </c>
      <c r="F3" s="51">
        <f t="shared" si="3"/>
        <v>573.8</v>
      </c>
      <c r="I3" s="1" t="s">
        <v>93</v>
      </c>
      <c r="J3" s="1" t="s">
        <v>94</v>
      </c>
      <c r="K3" s="1" t="s">
        <v>90</v>
      </c>
    </row>
    <row r="4">
      <c r="A4" s="48" t="s">
        <v>95</v>
      </c>
      <c r="B4" s="48">
        <v>3168.0</v>
      </c>
      <c r="C4" s="49">
        <f t="shared" si="1"/>
        <v>3484.8</v>
      </c>
      <c r="D4" s="48">
        <v>3920.0</v>
      </c>
      <c r="E4" s="50">
        <f t="shared" si="2"/>
        <v>3136</v>
      </c>
      <c r="F4" s="51">
        <f t="shared" si="3"/>
        <v>-348.8</v>
      </c>
      <c r="H4" s="1" t="s">
        <v>96</v>
      </c>
      <c r="I4" s="52">
        <v>33775.0</v>
      </c>
      <c r="J4" s="53">
        <f>29477+21294</f>
        <v>50771</v>
      </c>
      <c r="K4" s="54">
        <f t="shared" ref="K4:K6" si="4">J4-I4</f>
        <v>16996</v>
      </c>
    </row>
    <row r="5">
      <c r="A5" s="48" t="s">
        <v>97</v>
      </c>
      <c r="B5" s="48">
        <v>4218.0</v>
      </c>
      <c r="C5" s="49">
        <f t="shared" si="1"/>
        <v>4639.8</v>
      </c>
      <c r="D5" s="48">
        <v>7020.0</v>
      </c>
      <c r="E5" s="50">
        <f t="shared" si="2"/>
        <v>5616</v>
      </c>
      <c r="F5" s="51">
        <f t="shared" si="3"/>
        <v>976.2</v>
      </c>
      <c r="H5" s="1" t="s">
        <v>98</v>
      </c>
      <c r="I5" s="52">
        <v>52449.0</v>
      </c>
      <c r="J5" s="52">
        <v>64353.0</v>
      </c>
      <c r="K5" s="54">
        <f t="shared" si="4"/>
        <v>11904</v>
      </c>
    </row>
    <row r="6">
      <c r="A6" s="48" t="s">
        <v>99</v>
      </c>
      <c r="B6" s="48">
        <v>4542.0</v>
      </c>
      <c r="C6" s="49">
        <f t="shared" si="1"/>
        <v>4996.2</v>
      </c>
      <c r="D6" s="48">
        <v>6344.0</v>
      </c>
      <c r="E6" s="50">
        <f t="shared" si="2"/>
        <v>5075.2</v>
      </c>
      <c r="F6" s="51">
        <f t="shared" si="3"/>
        <v>79</v>
      </c>
      <c r="H6" s="1" t="s">
        <v>100</v>
      </c>
      <c r="I6" s="52">
        <v>68154.0</v>
      </c>
      <c r="J6" s="52">
        <v>82421.0</v>
      </c>
      <c r="K6" s="54">
        <f t="shared" si="4"/>
        <v>14267</v>
      </c>
    </row>
    <row r="7">
      <c r="A7" s="48" t="s">
        <v>101</v>
      </c>
      <c r="B7" s="48">
        <v>4218.0</v>
      </c>
      <c r="C7" s="49">
        <f t="shared" si="1"/>
        <v>4639.8</v>
      </c>
      <c r="D7" s="48">
        <v>6845.0</v>
      </c>
      <c r="E7" s="50">
        <f t="shared" si="2"/>
        <v>5476</v>
      </c>
      <c r="F7" s="51">
        <f t="shared" si="3"/>
        <v>836.2</v>
      </c>
    </row>
    <row r="8">
      <c r="A8" s="48" t="s">
        <v>102</v>
      </c>
      <c r="B8" s="48">
        <v>14908.0</v>
      </c>
      <c r="C8" s="49">
        <f t="shared" si="1"/>
        <v>16398.8</v>
      </c>
      <c r="D8" s="48">
        <v>21722.0</v>
      </c>
      <c r="E8" s="50">
        <f t="shared" si="2"/>
        <v>17377.6</v>
      </c>
      <c r="F8" s="51">
        <f t="shared" si="3"/>
        <v>978.8</v>
      </c>
    </row>
    <row r="9">
      <c r="A9" s="48" t="s">
        <v>103</v>
      </c>
      <c r="B9" s="48">
        <v>16399.0</v>
      </c>
      <c r="C9" s="49">
        <f t="shared" si="1"/>
        <v>18038.9</v>
      </c>
      <c r="D9" s="48">
        <v>24839.0</v>
      </c>
      <c r="E9" s="50">
        <f t="shared" si="2"/>
        <v>19871.2</v>
      </c>
      <c r="F9" s="51">
        <f t="shared" si="3"/>
        <v>1832.3</v>
      </c>
    </row>
    <row r="10">
      <c r="A10" s="48" t="s">
        <v>104</v>
      </c>
      <c r="B10" s="48">
        <v>13552.0</v>
      </c>
      <c r="C10" s="49">
        <f t="shared" si="1"/>
        <v>14907.2</v>
      </c>
      <c r="D10" s="48">
        <v>17734.0</v>
      </c>
      <c r="E10" s="50">
        <f t="shared" si="2"/>
        <v>14187.2</v>
      </c>
      <c r="F10" s="51">
        <f t="shared" si="3"/>
        <v>-720</v>
      </c>
    </row>
    <row r="11">
      <c r="A11" s="48" t="s">
        <v>105</v>
      </c>
      <c r="B11" s="48">
        <v>12320.0</v>
      </c>
      <c r="C11" s="49">
        <f t="shared" si="1"/>
        <v>13552</v>
      </c>
      <c r="D11" s="48">
        <v>18618.0</v>
      </c>
      <c r="E11" s="50">
        <f t="shared" si="2"/>
        <v>14894.4</v>
      </c>
      <c r="F11" s="51">
        <f t="shared" si="3"/>
        <v>1342.4</v>
      </c>
    </row>
    <row r="12">
      <c r="A12" s="48" t="s">
        <v>106</v>
      </c>
      <c r="B12" s="48">
        <v>11200.0</v>
      </c>
      <c r="C12" s="49">
        <f t="shared" si="1"/>
        <v>12320</v>
      </c>
      <c r="D12" s="48">
        <v>14759.0</v>
      </c>
      <c r="E12" s="50">
        <f t="shared" si="2"/>
        <v>11807.2</v>
      </c>
      <c r="F12" s="51">
        <f t="shared" si="3"/>
        <v>-512.8</v>
      </c>
    </row>
    <row r="13">
      <c r="A13" s="48"/>
      <c r="B13" s="48"/>
      <c r="C13" s="49"/>
      <c r="D13" s="48"/>
      <c r="E13" s="50"/>
      <c r="F13" s="51"/>
    </row>
    <row r="14">
      <c r="A14" s="48"/>
      <c r="B14" s="48"/>
      <c r="C14" s="49"/>
      <c r="D14" s="48"/>
      <c r="E14" s="50"/>
      <c r="F14" s="51"/>
    </row>
    <row r="15">
      <c r="A15" s="48"/>
      <c r="B15" s="48"/>
      <c r="C15" s="49"/>
      <c r="D15" s="48"/>
      <c r="E15" s="50"/>
      <c r="F15" s="51"/>
    </row>
    <row r="16">
      <c r="A16" s="48"/>
      <c r="B16" s="48"/>
      <c r="C16" s="49"/>
      <c r="D16" s="48"/>
      <c r="E16" s="50"/>
      <c r="F16" s="51"/>
    </row>
    <row r="17">
      <c r="E17" s="55" t="s">
        <v>107</v>
      </c>
      <c r="F17" s="56">
        <f>sum(F2:F16)</f>
        <v>13284.3</v>
      </c>
    </row>
    <row r="22">
      <c r="A22" s="42" t="s">
        <v>108</v>
      </c>
    </row>
    <row r="23">
      <c r="A23" s="42" t="s">
        <v>109</v>
      </c>
    </row>
    <row r="24">
      <c r="A24" s="42" t="s">
        <v>110</v>
      </c>
    </row>
  </sheetData>
  <conditionalFormatting sqref="F2:F16">
    <cfRule type="colorScale" priority="1">
      <colorScale>
        <cfvo type="min"/>
        <cfvo type="formula" val="0"/>
        <cfvo type="max"/>
        <color rgb="FFE67C73"/>
        <color rgb="FFFFFFFF"/>
        <color rgb="FF7DC05F"/>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63"/>
  </cols>
  <sheetData>
    <row r="1">
      <c r="A1" s="57">
        <v>45838.5</v>
      </c>
      <c r="B1" s="58">
        <v>45855.11111111111</v>
      </c>
    </row>
    <row r="3">
      <c r="A3" s="59">
        <f t="array" ref="A3:A12">A1 + SEQUENCE(10, 1, 0, 1) * 86 / 24</f>
        <v>45838.5</v>
      </c>
      <c r="B3" s="60">
        <f t="array" ref="B3:B12">B1 + SEQUENCE(10, 1, 0, 1) * 72 / 24</f>
        <v>45855.11111</v>
      </c>
    </row>
    <row r="4">
      <c r="A4" s="59">
        <v>45842.083333333336</v>
      </c>
      <c r="B4" s="60">
        <v>45858.11111111111</v>
      </c>
    </row>
    <row r="5">
      <c r="A5" s="59">
        <v>45845.666666666664</v>
      </c>
      <c r="B5" s="60">
        <v>45861.11111111111</v>
      </c>
    </row>
    <row r="6">
      <c r="A6" s="59">
        <v>45849.25</v>
      </c>
      <c r="B6" s="60">
        <v>45864.11111111111</v>
      </c>
    </row>
    <row r="7">
      <c r="A7" s="59">
        <v>45852.833333333336</v>
      </c>
      <c r="B7" s="60">
        <v>45867.11111111111</v>
      </c>
    </row>
    <row r="8">
      <c r="A8" s="59">
        <v>45856.416666666664</v>
      </c>
      <c r="B8" s="60">
        <v>45870.11111111111</v>
      </c>
    </row>
    <row r="9">
      <c r="A9" s="59">
        <v>45860.0</v>
      </c>
      <c r="B9" s="60">
        <v>45873.11111111111</v>
      </c>
    </row>
    <row r="10">
      <c r="A10" s="59">
        <v>45863.583333333336</v>
      </c>
      <c r="B10" s="60">
        <v>45876.11111111111</v>
      </c>
    </row>
    <row r="11">
      <c r="A11" s="59">
        <v>45867.166666666664</v>
      </c>
      <c r="B11" s="60">
        <v>45879.11111111111</v>
      </c>
    </row>
    <row r="12">
      <c r="A12" s="59">
        <v>45870.75</v>
      </c>
      <c r="B12" s="60">
        <v>45882.11111111111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v>300000.0</v>
      </c>
      <c r="D1" s="42" t="s">
        <v>111</v>
      </c>
      <c r="F1" s="42" t="s">
        <v>112</v>
      </c>
      <c r="G1" s="30">
        <v>1824.0</v>
      </c>
    </row>
    <row r="2">
      <c r="A2" s="42">
        <v>452.0</v>
      </c>
      <c r="B2" s="33">
        <f>A2 * (1 + A3 / 100)</f>
        <v>1476.684</v>
      </c>
      <c r="D2" s="42" t="s">
        <v>52</v>
      </c>
    </row>
    <row r="3">
      <c r="A3" s="30">
        <v>226.7</v>
      </c>
      <c r="D3" s="42" t="s">
        <v>113</v>
      </c>
    </row>
    <row r="4">
      <c r="A4" s="61">
        <v>170.0</v>
      </c>
      <c r="B4" s="33">
        <f>A4 * (1 + (A5 / 100) - (A12 / 100) )</f>
        <v>341.7</v>
      </c>
      <c r="D4" s="61" t="s">
        <v>114</v>
      </c>
    </row>
    <row r="5">
      <c r="A5" s="30">
        <v>103.0</v>
      </c>
      <c r="D5" s="42" t="s">
        <v>115</v>
      </c>
    </row>
    <row r="6">
      <c r="A6" s="42">
        <v>211.0</v>
      </c>
      <c r="B6" s="33">
        <f>A6 * (1 + (A7 / 100) - (A13 / 100) )</f>
        <v>369.039</v>
      </c>
      <c r="D6" s="42" t="s">
        <v>116</v>
      </c>
    </row>
    <row r="7">
      <c r="A7" s="30">
        <v>78.2</v>
      </c>
      <c r="D7" s="42" t="s">
        <v>117</v>
      </c>
    </row>
    <row r="8">
      <c r="A8" s="30">
        <v>2.0</v>
      </c>
      <c r="D8" s="42" t="s">
        <v>118</v>
      </c>
    </row>
    <row r="9">
      <c r="A9" s="30">
        <v>40.0</v>
      </c>
      <c r="B9" s="33">
        <f t="shared" ref="B9:B10" si="1">A9/100</f>
        <v>0.4</v>
      </c>
      <c r="D9" s="42" t="s">
        <v>119</v>
      </c>
    </row>
    <row r="10">
      <c r="A10" s="30">
        <v>11.5</v>
      </c>
      <c r="B10" s="33">
        <f t="shared" si="1"/>
        <v>0.115</v>
      </c>
      <c r="D10" s="42" t="s">
        <v>120</v>
      </c>
    </row>
    <row r="11">
      <c r="A11" s="42">
        <v>300000.0</v>
      </c>
      <c r="D11" s="42" t="s">
        <v>121</v>
      </c>
    </row>
    <row r="12">
      <c r="A12" s="30">
        <v>2.0</v>
      </c>
      <c r="D12" s="30" t="s">
        <v>122</v>
      </c>
    </row>
    <row r="13">
      <c r="A13" s="30">
        <v>3.3</v>
      </c>
      <c r="D13" s="30" t="s">
        <v>123</v>
      </c>
    </row>
    <row r="15">
      <c r="A15" s="42" t="s">
        <v>107</v>
      </c>
      <c r="B15" s="33">
        <f>(((A1 * B2) / (B4 * B6)) * A8) * (1 + A9 / 100) * (1 + A10 / 100)</f>
        <v>10967.92518</v>
      </c>
      <c r="F15" s="33">
        <f>SQRT(10000/300000)</f>
        <v>0.1825741858</v>
      </c>
    </row>
    <row r="16">
      <c r="B16" s="33">
        <f>(((A1 * B2 * (1 + B9+B10)) / (B4 * B6)) * A8) *F15</f>
        <v>1943.450939</v>
      </c>
    </row>
    <row r="18">
      <c r="A18" s="33">
        <f>ROUNDUP((((((((A1*((A2*(100%+A3))*(100%+A9))))/(A4*(100%+A5)))/(A6*(100%+A7)))*2)*sqrt(10000/A1))),0)</f>
        <v>1565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62" t="s">
        <v>124</v>
      </c>
    </row>
    <row r="2">
      <c r="A2" s="63" t="s">
        <v>125</v>
      </c>
      <c r="B2" s="64">
        <v>100.0</v>
      </c>
      <c r="C2" s="64">
        <v>500.0</v>
      </c>
      <c r="D2" s="64">
        <v>1000.0</v>
      </c>
      <c r="E2" s="65" t="s">
        <v>107</v>
      </c>
    </row>
    <row r="3">
      <c r="A3" s="63" t="s">
        <v>126</v>
      </c>
      <c r="B3" s="66">
        <v>292.0</v>
      </c>
      <c r="C3" s="66">
        <v>137.0</v>
      </c>
      <c r="D3" s="66">
        <v>5.0</v>
      </c>
      <c r="E3" s="67">
        <f>B2*B3+C2*C3+D2*D3</f>
        <v>102700</v>
      </c>
    </row>
    <row r="4">
      <c r="A4" s="63" t="s">
        <v>127</v>
      </c>
      <c r="B4" s="68">
        <v>0.0</v>
      </c>
      <c r="C4" s="68">
        <v>48.0</v>
      </c>
      <c r="D4" s="68">
        <v>0.0</v>
      </c>
      <c r="E4" s="69">
        <f>B2*B4+C2*C4+D2*D4</f>
        <v>24000</v>
      </c>
    </row>
    <row r="6">
      <c r="A6" s="70" t="s">
        <v>128</v>
      </c>
      <c r="B6" s="71"/>
      <c r="C6" s="71"/>
      <c r="D6" s="72"/>
      <c r="E6" s="31"/>
    </row>
    <row r="7">
      <c r="A7" s="73"/>
      <c r="B7" s="74" t="s">
        <v>124</v>
      </c>
      <c r="C7" s="75" t="s">
        <v>129</v>
      </c>
      <c r="D7" s="76" t="s">
        <v>130</v>
      </c>
    </row>
    <row r="8">
      <c r="A8" s="77" t="s">
        <v>131</v>
      </c>
      <c r="B8" s="48">
        <v>150.0</v>
      </c>
      <c r="C8" s="48">
        <v>4000.0</v>
      </c>
      <c r="D8" s="78">
        <f t="shared" ref="D8:D12" si="1">C8/B8</f>
        <v>26.66666667</v>
      </c>
    </row>
    <row r="9">
      <c r="A9" s="79" t="s">
        <v>132</v>
      </c>
      <c r="B9" s="48">
        <v>50.0</v>
      </c>
      <c r="C9" s="80">
        <v>1100.0</v>
      </c>
      <c r="D9" s="81">
        <f t="shared" si="1"/>
        <v>22</v>
      </c>
    </row>
    <row r="10">
      <c r="A10" s="79" t="s">
        <v>133</v>
      </c>
      <c r="B10" s="80">
        <v>40.0</v>
      </c>
      <c r="C10" s="80">
        <v>1100.0</v>
      </c>
      <c r="D10" s="82">
        <f t="shared" si="1"/>
        <v>27.5</v>
      </c>
    </row>
    <row r="11">
      <c r="A11" s="83" t="s">
        <v>134</v>
      </c>
      <c r="B11" s="48">
        <f>(50+48+46+44+42+(40*95))*5</f>
        <v>20150</v>
      </c>
      <c r="C11" s="51">
        <f>C9*100*5</f>
        <v>550000</v>
      </c>
      <c r="D11" s="78">
        <f t="shared" si="1"/>
        <v>27.29528536</v>
      </c>
    </row>
    <row r="12">
      <c r="A12" s="83" t="s">
        <v>134</v>
      </c>
      <c r="B12" s="48">
        <f>(50+48+46+44+42+(40*(C13-5)))*5</f>
        <v>4950</v>
      </c>
      <c r="C12" s="51">
        <f>C10*C13*5</f>
        <v>132000</v>
      </c>
      <c r="D12" s="78">
        <f t="shared" si="1"/>
        <v>26.66666667</v>
      </c>
    </row>
    <row r="13">
      <c r="B13" s="30"/>
      <c r="C13" s="30">
        <v>24.0</v>
      </c>
      <c r="D13" s="30"/>
    </row>
    <row r="16">
      <c r="B16" s="30"/>
    </row>
    <row r="17">
      <c r="B17" s="30"/>
    </row>
    <row r="22">
      <c r="B22" s="43"/>
      <c r="C22" s="43"/>
    </row>
  </sheetData>
  <mergeCells count="2">
    <mergeCell ref="A1:E1"/>
    <mergeCell ref="A6:D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18.0"/>
    <col customWidth="1" min="3" max="3" width="7.13"/>
    <col customWidth="1" min="4" max="4" width="6.13"/>
    <col customWidth="1" min="5" max="5" width="17.88"/>
    <col customWidth="1" min="6" max="6" width="6.13"/>
    <col customWidth="1" min="7" max="7" width="6.88"/>
    <col customWidth="1" min="8" max="8" width="17.63"/>
    <col customWidth="1" min="9" max="9" width="14.63"/>
    <col customWidth="1" min="15" max="15" width="28.38"/>
    <col customWidth="1" min="16" max="16" width="23.13"/>
    <col customWidth="1" min="17" max="17" width="9.88"/>
  </cols>
  <sheetData>
    <row r="1">
      <c r="A1" s="1" t="s">
        <v>86</v>
      </c>
      <c r="B1" s="2" t="s">
        <v>135</v>
      </c>
      <c r="C1" s="2" t="s">
        <v>136</v>
      </c>
      <c r="D1" s="84" t="s">
        <v>137</v>
      </c>
      <c r="E1" s="2" t="s">
        <v>138</v>
      </c>
      <c r="F1" s="2" t="s">
        <v>139</v>
      </c>
      <c r="G1" s="2" t="s">
        <v>140</v>
      </c>
      <c r="H1" s="1" t="s">
        <v>141</v>
      </c>
      <c r="I1" s="1" t="s">
        <v>142</v>
      </c>
      <c r="J1" s="1" t="s">
        <v>143</v>
      </c>
      <c r="K1" s="1" t="s">
        <v>144</v>
      </c>
      <c r="L1" s="1" t="s">
        <v>145</v>
      </c>
      <c r="M1" s="1" t="s">
        <v>146</v>
      </c>
      <c r="N1" s="1" t="s">
        <v>147</v>
      </c>
      <c r="O1" s="1" t="s">
        <v>148</v>
      </c>
      <c r="P1" s="1" t="s">
        <v>149</v>
      </c>
      <c r="Q1" s="1" t="s">
        <v>150</v>
      </c>
      <c r="R1" s="42"/>
    </row>
    <row r="2" ht="16.5" customHeight="1">
      <c r="A2" s="85" t="s">
        <v>151</v>
      </c>
      <c r="B2" s="11" t="s">
        <v>152</v>
      </c>
      <c r="C2" s="86">
        <v>5.0</v>
      </c>
      <c r="D2" s="87">
        <v>40.0</v>
      </c>
      <c r="E2" s="11" t="s">
        <v>153</v>
      </c>
      <c r="F2" s="11">
        <v>4.0</v>
      </c>
      <c r="G2" s="11">
        <v>18.0</v>
      </c>
      <c r="H2" s="11" t="s">
        <v>154</v>
      </c>
      <c r="I2" s="11" t="s">
        <v>155</v>
      </c>
      <c r="J2" s="11" t="s">
        <v>156</v>
      </c>
      <c r="K2" s="11" t="s">
        <v>157</v>
      </c>
      <c r="L2" s="11" t="s">
        <v>158</v>
      </c>
      <c r="M2" s="11">
        <v>600.0</v>
      </c>
      <c r="N2" s="11" t="s">
        <v>159</v>
      </c>
      <c r="O2" s="88" t="s">
        <v>160</v>
      </c>
      <c r="P2" s="88" t="s">
        <v>161</v>
      </c>
      <c r="Q2" s="89">
        <v>1.0</v>
      </c>
      <c r="R2" s="42" t="s">
        <v>162</v>
      </c>
    </row>
    <row r="3" ht="16.5" customHeight="1">
      <c r="A3" s="85" t="s">
        <v>163</v>
      </c>
      <c r="B3" s="14" t="s">
        <v>164</v>
      </c>
      <c r="C3" s="86">
        <v>5.0</v>
      </c>
      <c r="D3" s="87">
        <v>40.0</v>
      </c>
      <c r="E3" s="14" t="s">
        <v>165</v>
      </c>
      <c r="F3" s="14">
        <v>4.0</v>
      </c>
      <c r="G3" s="14">
        <v>22.0</v>
      </c>
      <c r="H3" s="11" t="s">
        <v>154</v>
      </c>
      <c r="I3" s="14" t="s">
        <v>166</v>
      </c>
      <c r="J3" s="14" t="s">
        <v>156</v>
      </c>
      <c r="K3" s="14" t="s">
        <v>157</v>
      </c>
      <c r="L3" s="14" t="s">
        <v>158</v>
      </c>
      <c r="M3" s="14">
        <v>400.0</v>
      </c>
      <c r="N3" s="14" t="s">
        <v>167</v>
      </c>
      <c r="O3" s="90" t="s">
        <v>168</v>
      </c>
      <c r="P3" s="88" t="s">
        <v>169</v>
      </c>
      <c r="Q3" s="89">
        <v>1.0</v>
      </c>
      <c r="R3" s="42" t="s">
        <v>162</v>
      </c>
    </row>
    <row r="4" ht="16.5" customHeight="1">
      <c r="A4" s="85" t="s">
        <v>170</v>
      </c>
      <c r="B4" s="14" t="s">
        <v>171</v>
      </c>
      <c r="C4" s="86">
        <v>8.0</v>
      </c>
      <c r="D4" s="87">
        <v>40.0</v>
      </c>
      <c r="E4" s="14" t="s">
        <v>172</v>
      </c>
      <c r="F4" s="14">
        <v>4.0</v>
      </c>
      <c r="G4" s="14">
        <v>17.0</v>
      </c>
      <c r="H4" s="11" t="s">
        <v>154</v>
      </c>
      <c r="I4" s="14" t="s">
        <v>173</v>
      </c>
      <c r="J4" s="14" t="s">
        <v>17</v>
      </c>
      <c r="K4" s="14" t="s">
        <v>17</v>
      </c>
      <c r="L4" s="14" t="s">
        <v>174</v>
      </c>
      <c r="M4" s="14">
        <v>0.0</v>
      </c>
      <c r="N4" s="14" t="s">
        <v>175</v>
      </c>
      <c r="O4" s="88" t="s">
        <v>176</v>
      </c>
      <c r="P4" s="88" t="s">
        <v>177</v>
      </c>
      <c r="Q4" s="89">
        <v>1.0</v>
      </c>
      <c r="R4" s="42" t="s">
        <v>162</v>
      </c>
    </row>
    <row r="5" ht="16.5" customHeight="1">
      <c r="A5" s="85" t="s">
        <v>178</v>
      </c>
      <c r="B5" s="14" t="s">
        <v>179</v>
      </c>
      <c r="C5" s="86">
        <v>8.0</v>
      </c>
      <c r="D5" s="87">
        <v>40.0</v>
      </c>
      <c r="E5" s="14" t="s">
        <v>165</v>
      </c>
      <c r="F5" s="14">
        <v>4.0</v>
      </c>
      <c r="G5" s="14">
        <v>22.0</v>
      </c>
      <c r="H5" s="11" t="s">
        <v>154</v>
      </c>
      <c r="I5" s="14" t="s">
        <v>180</v>
      </c>
      <c r="J5" s="14" t="s">
        <v>17</v>
      </c>
      <c r="K5" s="14" t="s">
        <v>17</v>
      </c>
      <c r="L5" s="14" t="s">
        <v>158</v>
      </c>
      <c r="M5" s="14">
        <v>0.0</v>
      </c>
      <c r="N5" s="14" t="s">
        <v>181</v>
      </c>
      <c r="O5" s="88" t="s">
        <v>182</v>
      </c>
      <c r="P5" s="88" t="s">
        <v>183</v>
      </c>
      <c r="Q5" s="89">
        <v>1.0</v>
      </c>
      <c r="R5" s="42" t="s">
        <v>162</v>
      </c>
    </row>
    <row r="6" ht="16.5" customHeight="1">
      <c r="A6" s="85" t="s">
        <v>184</v>
      </c>
      <c r="B6" s="42" t="s">
        <v>185</v>
      </c>
      <c r="C6" s="86">
        <v>5.0</v>
      </c>
      <c r="D6" s="87">
        <v>40.0</v>
      </c>
      <c r="E6" s="42" t="s">
        <v>186</v>
      </c>
      <c r="F6" s="14">
        <v>4.0</v>
      </c>
      <c r="G6" s="14">
        <v>22.0</v>
      </c>
      <c r="H6" s="11" t="s">
        <v>154</v>
      </c>
      <c r="I6" s="42" t="s">
        <v>187</v>
      </c>
      <c r="J6" s="42" t="s">
        <v>157</v>
      </c>
      <c r="K6" s="42" t="s">
        <v>17</v>
      </c>
      <c r="L6" s="42">
        <v>0.0</v>
      </c>
      <c r="M6" s="42">
        <v>0.0</v>
      </c>
      <c r="N6" s="14" t="s">
        <v>188</v>
      </c>
      <c r="O6" s="88" t="s">
        <v>189</v>
      </c>
      <c r="P6" s="88" t="s">
        <v>190</v>
      </c>
      <c r="Q6" s="89">
        <v>1.0</v>
      </c>
      <c r="R6" s="42" t="s">
        <v>162</v>
      </c>
    </row>
    <row r="7" ht="16.5" customHeight="1">
      <c r="A7" s="85" t="s">
        <v>191</v>
      </c>
      <c r="B7" s="14" t="s">
        <v>192</v>
      </c>
      <c r="C7" s="86">
        <v>5.0</v>
      </c>
      <c r="D7" s="87">
        <v>40.0</v>
      </c>
      <c r="E7" s="14" t="s">
        <v>186</v>
      </c>
      <c r="F7" s="14">
        <v>4.0</v>
      </c>
      <c r="G7" s="14">
        <v>22.0</v>
      </c>
      <c r="H7" s="11" t="s">
        <v>154</v>
      </c>
      <c r="I7" s="14" t="s">
        <v>193</v>
      </c>
      <c r="J7" s="14" t="s">
        <v>156</v>
      </c>
      <c r="K7" s="14" t="s">
        <v>194</v>
      </c>
      <c r="L7" s="14" t="s">
        <v>158</v>
      </c>
      <c r="M7" s="14">
        <v>1600.0</v>
      </c>
      <c r="N7" s="14" t="s">
        <v>195</v>
      </c>
      <c r="O7" s="88" t="s">
        <v>196</v>
      </c>
      <c r="P7" s="88" t="s">
        <v>197</v>
      </c>
      <c r="Q7" s="89">
        <v>1.0</v>
      </c>
      <c r="R7" s="42" t="s">
        <v>162</v>
      </c>
    </row>
    <row r="8" ht="16.5" customHeight="1">
      <c r="A8" s="85" t="s">
        <v>198</v>
      </c>
      <c r="B8" s="14" t="s">
        <v>199</v>
      </c>
      <c r="C8" s="86">
        <v>5.0</v>
      </c>
      <c r="D8" s="87">
        <v>40.0</v>
      </c>
      <c r="E8" s="14" t="s">
        <v>165</v>
      </c>
      <c r="F8" s="14">
        <v>4.0</v>
      </c>
      <c r="G8" s="14">
        <v>22.0</v>
      </c>
      <c r="H8" s="11" t="s">
        <v>154</v>
      </c>
      <c r="I8" s="14" t="s">
        <v>193</v>
      </c>
      <c r="J8" s="14" t="s">
        <v>156</v>
      </c>
      <c r="K8" s="14" t="s">
        <v>157</v>
      </c>
      <c r="L8" s="14" t="s">
        <v>158</v>
      </c>
      <c r="M8" s="14">
        <v>1600.0</v>
      </c>
      <c r="N8" s="14" t="s">
        <v>200</v>
      </c>
      <c r="O8" s="88" t="s">
        <v>201</v>
      </c>
      <c r="P8" s="88" t="s">
        <v>202</v>
      </c>
      <c r="Q8" s="89">
        <v>1.0</v>
      </c>
      <c r="R8" s="42" t="s">
        <v>162</v>
      </c>
    </row>
    <row r="9" ht="16.5" customHeight="1">
      <c r="A9" s="85" t="s">
        <v>203</v>
      </c>
      <c r="B9" s="14" t="s">
        <v>186</v>
      </c>
      <c r="C9" s="86">
        <v>5.0</v>
      </c>
      <c r="D9" s="87">
        <v>40.0</v>
      </c>
      <c r="E9" s="14" t="s">
        <v>186</v>
      </c>
      <c r="F9" s="14">
        <v>4.0</v>
      </c>
      <c r="G9" s="14">
        <v>22.0</v>
      </c>
      <c r="H9" s="11" t="s">
        <v>154</v>
      </c>
      <c r="I9" s="14" t="s">
        <v>204</v>
      </c>
      <c r="J9" s="14" t="s">
        <v>156</v>
      </c>
      <c r="K9" s="14" t="s">
        <v>205</v>
      </c>
      <c r="L9" s="14" t="s">
        <v>158</v>
      </c>
      <c r="M9" s="14">
        <v>400.0</v>
      </c>
      <c r="N9" s="14" t="s">
        <v>206</v>
      </c>
      <c r="O9" s="88" t="s">
        <v>207</v>
      </c>
      <c r="P9" s="88" t="s">
        <v>208</v>
      </c>
      <c r="Q9" s="89">
        <v>1.0</v>
      </c>
      <c r="R9" s="42" t="s">
        <v>162</v>
      </c>
    </row>
    <row r="10" ht="16.5" customHeight="1">
      <c r="A10" s="85" t="s">
        <v>209</v>
      </c>
      <c r="B10" s="14" t="s">
        <v>210</v>
      </c>
      <c r="C10" s="86">
        <v>5.0</v>
      </c>
      <c r="D10" s="87">
        <v>40.0</v>
      </c>
      <c r="E10" s="14" t="s">
        <v>186</v>
      </c>
      <c r="F10" s="14">
        <v>4.0</v>
      </c>
      <c r="G10" s="14">
        <v>22.0</v>
      </c>
      <c r="H10" s="11" t="s">
        <v>154</v>
      </c>
      <c r="I10" s="14" t="s">
        <v>211</v>
      </c>
      <c r="J10" s="14" t="s">
        <v>156</v>
      </c>
      <c r="K10" s="14" t="s">
        <v>194</v>
      </c>
      <c r="L10" s="14" t="s">
        <v>158</v>
      </c>
      <c r="M10" s="14">
        <v>1200.0</v>
      </c>
      <c r="N10" s="14" t="s">
        <v>212</v>
      </c>
      <c r="O10" s="88" t="s">
        <v>213</v>
      </c>
      <c r="P10" s="88" t="s">
        <v>214</v>
      </c>
      <c r="Q10" s="89">
        <v>1.0</v>
      </c>
      <c r="R10" s="42" t="s">
        <v>162</v>
      </c>
    </row>
    <row r="11" ht="16.5" customHeight="1">
      <c r="A11" s="85" t="s">
        <v>215</v>
      </c>
      <c r="B11" s="14" t="s">
        <v>216</v>
      </c>
      <c r="C11" s="86">
        <v>5.0</v>
      </c>
      <c r="D11" s="87">
        <v>38.0</v>
      </c>
      <c r="E11" s="14" t="s">
        <v>172</v>
      </c>
      <c r="F11" s="14">
        <v>4.0</v>
      </c>
      <c r="G11" s="14">
        <v>17.0</v>
      </c>
      <c r="H11" s="11" t="s">
        <v>154</v>
      </c>
      <c r="I11" s="14" t="s">
        <v>155</v>
      </c>
      <c r="J11" s="14" t="s">
        <v>217</v>
      </c>
      <c r="K11" s="14" t="s">
        <v>17</v>
      </c>
      <c r="L11" s="14" t="s">
        <v>158</v>
      </c>
      <c r="M11" s="14">
        <v>0.0</v>
      </c>
      <c r="N11" s="14" t="s">
        <v>218</v>
      </c>
      <c r="O11" s="88" t="s">
        <v>219</v>
      </c>
      <c r="P11" s="88" t="s">
        <v>220</v>
      </c>
      <c r="Q11" s="89">
        <v>1.0</v>
      </c>
      <c r="R11" s="42" t="s">
        <v>162</v>
      </c>
    </row>
    <row r="12" ht="16.5" customHeight="1">
      <c r="A12" s="85" t="s">
        <v>221</v>
      </c>
      <c r="B12" s="14" t="s">
        <v>222</v>
      </c>
      <c r="C12" s="86">
        <v>5.0</v>
      </c>
      <c r="D12" s="87">
        <v>40.0</v>
      </c>
      <c r="E12" s="14" t="s">
        <v>165</v>
      </c>
      <c r="F12" s="14">
        <v>4.0</v>
      </c>
      <c r="G12" s="14">
        <v>22.0</v>
      </c>
      <c r="H12" s="11" t="s">
        <v>154</v>
      </c>
      <c r="I12" s="14" t="s">
        <v>211</v>
      </c>
      <c r="J12" s="14" t="s">
        <v>156</v>
      </c>
      <c r="K12" s="14" t="s">
        <v>157</v>
      </c>
      <c r="L12" s="14" t="s">
        <v>158</v>
      </c>
      <c r="M12" s="14">
        <v>1200.0</v>
      </c>
      <c r="N12" s="14" t="s">
        <v>223</v>
      </c>
      <c r="O12" s="88" t="s">
        <v>224</v>
      </c>
      <c r="P12" s="88" t="s">
        <v>225</v>
      </c>
      <c r="Q12" s="89">
        <v>1.0</v>
      </c>
      <c r="R12" s="42" t="s">
        <v>162</v>
      </c>
    </row>
    <row r="13" ht="16.5" customHeight="1">
      <c r="A13" s="85" t="s">
        <v>226</v>
      </c>
      <c r="B13" s="14" t="s">
        <v>164</v>
      </c>
      <c r="C13" s="86">
        <v>5.0</v>
      </c>
      <c r="D13" s="87">
        <v>40.0</v>
      </c>
      <c r="E13" s="14" t="s">
        <v>165</v>
      </c>
      <c r="F13" s="14">
        <v>4.0</v>
      </c>
      <c r="G13" s="14">
        <v>22.0</v>
      </c>
      <c r="H13" s="11" t="s">
        <v>154</v>
      </c>
      <c r="I13" s="14" t="s">
        <v>166</v>
      </c>
      <c r="J13" s="14" t="s">
        <v>156</v>
      </c>
      <c r="K13" s="14" t="s">
        <v>227</v>
      </c>
      <c r="L13" s="14" t="s">
        <v>158</v>
      </c>
      <c r="M13" s="14">
        <v>400.0</v>
      </c>
      <c r="N13" s="14" t="s">
        <v>228</v>
      </c>
      <c r="O13" s="88" t="s">
        <v>229</v>
      </c>
      <c r="P13" s="88" t="s">
        <v>161</v>
      </c>
      <c r="Q13" s="89">
        <v>1.0</v>
      </c>
      <c r="R13" s="42" t="s">
        <v>162</v>
      </c>
    </row>
    <row r="14" ht="16.5" customHeight="1">
      <c r="A14" s="85" t="s">
        <v>230</v>
      </c>
      <c r="B14" s="14" t="s">
        <v>171</v>
      </c>
      <c r="C14" s="86">
        <v>8.0</v>
      </c>
      <c r="D14" s="87">
        <v>26.0</v>
      </c>
      <c r="E14" s="14" t="s">
        <v>186</v>
      </c>
      <c r="F14" s="14">
        <v>4.0</v>
      </c>
      <c r="G14" s="14">
        <v>22.0</v>
      </c>
      <c r="H14" s="11" t="s">
        <v>154</v>
      </c>
      <c r="I14" s="14" t="s">
        <v>173</v>
      </c>
      <c r="J14" s="14" t="s">
        <v>17</v>
      </c>
      <c r="K14" s="14" t="s">
        <v>17</v>
      </c>
      <c r="L14" s="14" t="s">
        <v>231</v>
      </c>
      <c r="M14" s="14">
        <v>0.0</v>
      </c>
      <c r="N14" s="14" t="s">
        <v>232</v>
      </c>
      <c r="O14" s="88" t="s">
        <v>233</v>
      </c>
      <c r="P14" s="88" t="s">
        <v>234</v>
      </c>
      <c r="Q14" s="89">
        <v>1.0</v>
      </c>
      <c r="R14" s="42" t="s">
        <v>162</v>
      </c>
    </row>
    <row r="15" ht="16.5" customHeight="1">
      <c r="A15" s="85" t="s">
        <v>235</v>
      </c>
      <c r="B15" s="14" t="s">
        <v>236</v>
      </c>
      <c r="C15" s="86">
        <v>5.0</v>
      </c>
      <c r="D15" s="87">
        <v>40.0</v>
      </c>
      <c r="E15" s="14" t="s">
        <v>186</v>
      </c>
      <c r="F15" s="14">
        <v>4.0</v>
      </c>
      <c r="G15" s="14">
        <v>22.0</v>
      </c>
      <c r="H15" s="11" t="s">
        <v>154</v>
      </c>
      <c r="I15" s="14" t="s">
        <v>237</v>
      </c>
      <c r="J15" s="14" t="s">
        <v>194</v>
      </c>
      <c r="K15" s="14" t="s">
        <v>17</v>
      </c>
      <c r="L15" s="14">
        <v>0.0</v>
      </c>
      <c r="M15" s="14">
        <v>0.0</v>
      </c>
      <c r="N15" s="14" t="s">
        <v>238</v>
      </c>
      <c r="O15" s="88" t="s">
        <v>239</v>
      </c>
      <c r="P15" s="88" t="s">
        <v>240</v>
      </c>
      <c r="Q15" s="89">
        <v>1.0</v>
      </c>
      <c r="R15" s="42" t="s">
        <v>162</v>
      </c>
    </row>
    <row r="16" ht="16.5" customHeight="1">
      <c r="A16" s="85" t="s">
        <v>241</v>
      </c>
      <c r="B16" s="14" t="s">
        <v>199</v>
      </c>
      <c r="C16" s="86">
        <v>5.0</v>
      </c>
      <c r="D16" s="87">
        <v>40.0</v>
      </c>
      <c r="E16" s="14" t="s">
        <v>165</v>
      </c>
      <c r="F16" s="14">
        <v>4.0</v>
      </c>
      <c r="G16" s="14">
        <v>22.0</v>
      </c>
      <c r="H16" s="11" t="s">
        <v>154</v>
      </c>
      <c r="I16" s="14" t="s">
        <v>193</v>
      </c>
      <c r="J16" s="14" t="s">
        <v>156</v>
      </c>
      <c r="K16" s="14" t="s">
        <v>157</v>
      </c>
      <c r="L16" s="14" t="s">
        <v>158</v>
      </c>
      <c r="M16" s="14">
        <v>1600.0</v>
      </c>
      <c r="N16" s="14" t="s">
        <v>242</v>
      </c>
      <c r="O16" s="88" t="s">
        <v>243</v>
      </c>
      <c r="P16" s="88" t="s">
        <v>244</v>
      </c>
      <c r="Q16" s="89">
        <v>2.0</v>
      </c>
      <c r="R16" s="42" t="s">
        <v>162</v>
      </c>
    </row>
    <row r="17" ht="16.5" customHeight="1">
      <c r="A17" s="85" t="s">
        <v>245</v>
      </c>
      <c r="B17" s="14" t="s">
        <v>152</v>
      </c>
      <c r="C17" s="86">
        <v>5.0</v>
      </c>
      <c r="D17" s="87">
        <v>40.0</v>
      </c>
      <c r="E17" s="14" t="s">
        <v>165</v>
      </c>
      <c r="F17" s="14">
        <v>4.0</v>
      </c>
      <c r="G17" s="14">
        <v>22.0</v>
      </c>
      <c r="H17" s="11" t="s">
        <v>154</v>
      </c>
      <c r="I17" s="14" t="s">
        <v>155</v>
      </c>
      <c r="J17" s="14" t="s">
        <v>156</v>
      </c>
      <c r="K17" s="14" t="s">
        <v>157</v>
      </c>
      <c r="L17" s="14" t="s">
        <v>158</v>
      </c>
      <c r="M17" s="14">
        <v>600.0</v>
      </c>
      <c r="N17" s="14" t="s">
        <v>246</v>
      </c>
      <c r="O17" s="88" t="s">
        <v>247</v>
      </c>
      <c r="P17" s="88" t="s">
        <v>225</v>
      </c>
      <c r="Q17" s="89">
        <v>1.0</v>
      </c>
      <c r="R17" s="42" t="s">
        <v>162</v>
      </c>
    </row>
    <row r="18" ht="16.5" customHeight="1">
      <c r="A18" s="85" t="s">
        <v>248</v>
      </c>
      <c r="B18" s="14" t="s">
        <v>153</v>
      </c>
      <c r="C18" s="86">
        <v>7.5</v>
      </c>
      <c r="D18" s="87">
        <v>37.5</v>
      </c>
      <c r="E18" s="14" t="s">
        <v>172</v>
      </c>
      <c r="F18" s="14">
        <v>4.0</v>
      </c>
      <c r="G18" s="14">
        <v>17.0</v>
      </c>
      <c r="H18" s="11" t="s">
        <v>154</v>
      </c>
      <c r="I18" s="14" t="s">
        <v>217</v>
      </c>
      <c r="J18" s="14" t="s">
        <v>17</v>
      </c>
      <c r="K18" s="14" t="s">
        <v>17</v>
      </c>
      <c r="L18" s="14" t="s">
        <v>158</v>
      </c>
      <c r="M18" s="14">
        <v>0.0</v>
      </c>
      <c r="N18" s="14" t="s">
        <v>249</v>
      </c>
      <c r="O18" s="88" t="s">
        <v>250</v>
      </c>
      <c r="P18" s="88" t="s">
        <v>251</v>
      </c>
      <c r="Q18" s="89">
        <v>1.0</v>
      </c>
      <c r="R18" s="42" t="s">
        <v>162</v>
      </c>
    </row>
    <row r="19" ht="16.5" customHeight="1">
      <c r="A19" s="85" t="s">
        <v>252</v>
      </c>
      <c r="B19" s="14" t="s">
        <v>152</v>
      </c>
      <c r="C19" s="86">
        <v>5.0</v>
      </c>
      <c r="D19" s="87">
        <v>40.0</v>
      </c>
      <c r="E19" s="14" t="s">
        <v>165</v>
      </c>
      <c r="F19" s="14">
        <v>4.0</v>
      </c>
      <c r="G19" s="14">
        <v>22.0</v>
      </c>
      <c r="H19" s="11" t="s">
        <v>154</v>
      </c>
      <c r="I19" s="14" t="s">
        <v>155</v>
      </c>
      <c r="J19" s="14" t="s">
        <v>217</v>
      </c>
      <c r="K19" s="14" t="s">
        <v>17</v>
      </c>
      <c r="L19" s="14" t="s">
        <v>158</v>
      </c>
      <c r="M19" s="14">
        <v>0.0</v>
      </c>
      <c r="N19" s="42" t="s">
        <v>253</v>
      </c>
      <c r="O19" s="88" t="s">
        <v>254</v>
      </c>
      <c r="P19" s="88" t="s">
        <v>255</v>
      </c>
      <c r="Q19" s="89">
        <v>1.0</v>
      </c>
      <c r="R19" s="42" t="s">
        <v>162</v>
      </c>
    </row>
    <row r="20" ht="16.5" customHeight="1">
      <c r="A20" s="85" t="s">
        <v>256</v>
      </c>
      <c r="B20" s="14" t="s">
        <v>257</v>
      </c>
      <c r="C20" s="86">
        <v>5.0</v>
      </c>
      <c r="D20" s="87">
        <v>40.0</v>
      </c>
      <c r="E20" s="14" t="s">
        <v>165</v>
      </c>
      <c r="F20" s="14">
        <v>4.0</v>
      </c>
      <c r="G20" s="14">
        <v>22.0</v>
      </c>
      <c r="H20" s="11" t="s">
        <v>154</v>
      </c>
      <c r="I20" s="14" t="s">
        <v>258</v>
      </c>
      <c r="J20" s="14" t="s">
        <v>156</v>
      </c>
      <c r="K20" s="14" t="s">
        <v>205</v>
      </c>
      <c r="L20" s="14" t="s">
        <v>158</v>
      </c>
      <c r="M20" s="14">
        <v>600.0</v>
      </c>
      <c r="N20" s="14" t="s">
        <v>259</v>
      </c>
      <c r="O20" s="88" t="s">
        <v>260</v>
      </c>
      <c r="P20" s="88" t="s">
        <v>261</v>
      </c>
      <c r="Q20" s="89">
        <v>2.0</v>
      </c>
      <c r="R20" s="42" t="s">
        <v>162</v>
      </c>
    </row>
    <row r="21" ht="16.5" customHeight="1">
      <c r="A21" s="85" t="s">
        <v>262</v>
      </c>
      <c r="B21" s="14" t="s">
        <v>263</v>
      </c>
      <c r="C21" s="86">
        <v>5.0</v>
      </c>
      <c r="D21" s="87">
        <v>33.0</v>
      </c>
      <c r="E21" s="14" t="s">
        <v>172</v>
      </c>
      <c r="F21" s="14">
        <v>4.0</v>
      </c>
      <c r="G21" s="14">
        <v>17.0</v>
      </c>
      <c r="H21" s="11" t="s">
        <v>154</v>
      </c>
      <c r="I21" s="14" t="s">
        <v>193</v>
      </c>
      <c r="J21" s="14" t="s">
        <v>217</v>
      </c>
      <c r="K21" s="14" t="s">
        <v>17</v>
      </c>
      <c r="L21" s="14" t="s">
        <v>264</v>
      </c>
      <c r="M21" s="14">
        <v>0.0</v>
      </c>
      <c r="N21" s="14" t="s">
        <v>265</v>
      </c>
      <c r="O21" s="88" t="s">
        <v>266</v>
      </c>
      <c r="P21" s="88" t="s">
        <v>267</v>
      </c>
      <c r="Q21" s="89">
        <v>1.0</v>
      </c>
      <c r="R21" s="42" t="s">
        <v>162</v>
      </c>
    </row>
    <row r="22" ht="16.5" customHeight="1">
      <c r="A22" s="85" t="s">
        <v>268</v>
      </c>
      <c r="B22" s="14" t="s">
        <v>269</v>
      </c>
      <c r="C22" s="86">
        <v>5.0</v>
      </c>
      <c r="D22" s="87">
        <v>33.0</v>
      </c>
      <c r="E22" s="14" t="s">
        <v>172</v>
      </c>
      <c r="F22" s="14">
        <v>4.0</v>
      </c>
      <c r="G22" s="14">
        <v>17.0</v>
      </c>
      <c r="H22" s="11" t="s">
        <v>154</v>
      </c>
      <c r="I22" s="14" t="s">
        <v>166</v>
      </c>
      <c r="J22" s="14" t="s">
        <v>156</v>
      </c>
      <c r="K22" s="14" t="s">
        <v>205</v>
      </c>
      <c r="L22" s="14" t="s">
        <v>158</v>
      </c>
      <c r="M22" s="14">
        <v>400.0</v>
      </c>
      <c r="N22" s="14" t="s">
        <v>270</v>
      </c>
      <c r="O22" s="88" t="s">
        <v>271</v>
      </c>
      <c r="P22" s="88" t="s">
        <v>272</v>
      </c>
      <c r="Q22" s="89">
        <v>2.0</v>
      </c>
      <c r="R22" s="42" t="s">
        <v>162</v>
      </c>
    </row>
    <row r="23" ht="16.5" customHeight="1">
      <c r="A23" s="85" t="s">
        <v>273</v>
      </c>
      <c r="B23" s="14" t="s">
        <v>222</v>
      </c>
      <c r="C23" s="86">
        <v>5.0</v>
      </c>
      <c r="D23" s="87">
        <v>40.0</v>
      </c>
      <c r="E23" s="14" t="s">
        <v>165</v>
      </c>
      <c r="F23" s="14">
        <v>4.0</v>
      </c>
      <c r="G23" s="14">
        <v>22.0</v>
      </c>
      <c r="H23" s="11" t="s">
        <v>154</v>
      </c>
      <c r="I23" s="14" t="s">
        <v>211</v>
      </c>
      <c r="J23" s="14" t="s">
        <v>156</v>
      </c>
      <c r="K23" s="14" t="s">
        <v>157</v>
      </c>
      <c r="L23" s="14" t="s">
        <v>158</v>
      </c>
      <c r="M23" s="14">
        <v>1200.0</v>
      </c>
      <c r="N23" s="14" t="s">
        <v>274</v>
      </c>
      <c r="O23" s="88" t="s">
        <v>275</v>
      </c>
      <c r="P23" s="88" t="s">
        <v>276</v>
      </c>
      <c r="Q23" s="89">
        <v>2.0</v>
      </c>
      <c r="R23" s="42" t="s">
        <v>162</v>
      </c>
    </row>
    <row r="24" ht="16.5" customHeight="1">
      <c r="A24" s="85" t="s">
        <v>277</v>
      </c>
      <c r="B24" s="14" t="s">
        <v>152</v>
      </c>
      <c r="C24" s="14">
        <v>3.0</v>
      </c>
      <c r="D24" s="87">
        <v>28.0</v>
      </c>
      <c r="E24" s="14" t="s">
        <v>165</v>
      </c>
      <c r="F24" s="14">
        <v>3.0</v>
      </c>
      <c r="G24" s="14">
        <v>18.0</v>
      </c>
      <c r="H24" s="11" t="s">
        <v>278</v>
      </c>
      <c r="I24" s="14" t="s">
        <v>155</v>
      </c>
      <c r="J24" s="14" t="s">
        <v>217</v>
      </c>
      <c r="K24" s="14" t="s">
        <v>17</v>
      </c>
      <c r="L24" s="14" t="s">
        <v>279</v>
      </c>
      <c r="M24" s="14">
        <v>0.0</v>
      </c>
      <c r="N24" s="14" t="s">
        <v>280</v>
      </c>
      <c r="O24" s="88" t="s">
        <v>281</v>
      </c>
      <c r="P24" s="88" t="s">
        <v>282</v>
      </c>
      <c r="Q24" s="89">
        <v>1.0</v>
      </c>
      <c r="R24" s="42" t="s">
        <v>162</v>
      </c>
    </row>
    <row r="25" ht="16.5" customHeight="1">
      <c r="A25" s="85" t="s">
        <v>283</v>
      </c>
      <c r="B25" s="14" t="s">
        <v>222</v>
      </c>
      <c r="C25" s="14">
        <v>3.0</v>
      </c>
      <c r="D25" s="87">
        <v>28.0</v>
      </c>
      <c r="E25" s="14" t="s">
        <v>165</v>
      </c>
      <c r="F25" s="14">
        <v>3.0</v>
      </c>
      <c r="G25" s="14">
        <v>18.0</v>
      </c>
      <c r="H25" s="11" t="s">
        <v>278</v>
      </c>
      <c r="I25" s="14" t="s">
        <v>211</v>
      </c>
      <c r="J25" s="14" t="s">
        <v>156</v>
      </c>
      <c r="K25" s="14" t="s">
        <v>157</v>
      </c>
      <c r="L25" s="14" t="s">
        <v>158</v>
      </c>
      <c r="M25" s="14">
        <v>1200.0</v>
      </c>
      <c r="N25" s="14" t="s">
        <v>284</v>
      </c>
      <c r="O25" s="88" t="s">
        <v>285</v>
      </c>
      <c r="P25" s="88" t="s">
        <v>286</v>
      </c>
      <c r="Q25" s="89">
        <v>1.0</v>
      </c>
      <c r="R25" s="42" t="s">
        <v>162</v>
      </c>
    </row>
    <row r="26" ht="16.5" customHeight="1">
      <c r="A26" s="85" t="s">
        <v>287</v>
      </c>
      <c r="B26" s="14" t="s">
        <v>222</v>
      </c>
      <c r="C26" s="14">
        <v>3.0</v>
      </c>
      <c r="D26" s="87">
        <v>28.0</v>
      </c>
      <c r="E26" s="14" t="s">
        <v>165</v>
      </c>
      <c r="F26" s="14">
        <v>3.0</v>
      </c>
      <c r="G26" s="14">
        <v>18.0</v>
      </c>
      <c r="H26" s="11" t="s">
        <v>278</v>
      </c>
      <c r="I26" s="14" t="s">
        <v>211</v>
      </c>
      <c r="J26" s="14" t="s">
        <v>180</v>
      </c>
      <c r="K26" s="14" t="s">
        <v>17</v>
      </c>
      <c r="L26" s="14" t="s">
        <v>158</v>
      </c>
      <c r="M26" s="14">
        <v>0.0</v>
      </c>
      <c r="N26" s="14" t="s">
        <v>288</v>
      </c>
      <c r="O26" s="88" t="s">
        <v>289</v>
      </c>
      <c r="P26" s="88" t="s">
        <v>290</v>
      </c>
      <c r="Q26" s="89">
        <v>1.0</v>
      </c>
      <c r="R26" s="42" t="s">
        <v>162</v>
      </c>
    </row>
    <row r="27" ht="16.5" customHeight="1">
      <c r="A27" s="85" t="s">
        <v>291</v>
      </c>
      <c r="B27" s="14" t="s">
        <v>199</v>
      </c>
      <c r="C27" s="14">
        <v>3.0</v>
      </c>
      <c r="D27" s="87">
        <v>28.0</v>
      </c>
      <c r="E27" s="14" t="s">
        <v>165</v>
      </c>
      <c r="F27" s="14">
        <v>3.0</v>
      </c>
      <c r="G27" s="14">
        <v>18.0</v>
      </c>
      <c r="H27" s="11" t="s">
        <v>278</v>
      </c>
      <c r="I27" s="14" t="s">
        <v>193</v>
      </c>
      <c r="J27" s="14" t="s">
        <v>180</v>
      </c>
      <c r="K27" s="14" t="s">
        <v>17</v>
      </c>
      <c r="L27" s="14" t="s">
        <v>158</v>
      </c>
      <c r="M27" s="14">
        <v>0.0</v>
      </c>
      <c r="N27" s="14" t="s">
        <v>292</v>
      </c>
      <c r="O27" s="88" t="s">
        <v>293</v>
      </c>
      <c r="P27" s="88" t="s">
        <v>294</v>
      </c>
      <c r="Q27" s="89">
        <v>1.0</v>
      </c>
      <c r="R27" s="42" t="s">
        <v>162</v>
      </c>
    </row>
    <row r="28" ht="16.5" customHeight="1">
      <c r="A28" s="85" t="s">
        <v>295</v>
      </c>
      <c r="B28" s="14" t="s">
        <v>153</v>
      </c>
      <c r="C28" s="14">
        <v>5.0</v>
      </c>
      <c r="D28" s="87">
        <v>27.0</v>
      </c>
      <c r="E28" s="14" t="s">
        <v>186</v>
      </c>
      <c r="F28" s="14">
        <v>3.0</v>
      </c>
      <c r="G28" s="14">
        <v>18.0</v>
      </c>
      <c r="H28" s="11" t="s">
        <v>278</v>
      </c>
      <c r="I28" s="14" t="s">
        <v>217</v>
      </c>
      <c r="J28" s="14" t="s">
        <v>17</v>
      </c>
      <c r="K28" s="14" t="s">
        <v>17</v>
      </c>
      <c r="L28" s="14" t="s">
        <v>296</v>
      </c>
      <c r="M28" s="14">
        <v>0.0</v>
      </c>
      <c r="N28" s="14" t="s">
        <v>297</v>
      </c>
      <c r="O28" s="88" t="s">
        <v>298</v>
      </c>
      <c r="P28" s="88" t="s">
        <v>299</v>
      </c>
      <c r="Q28" s="89">
        <v>1.0</v>
      </c>
      <c r="R28" s="42" t="s">
        <v>162</v>
      </c>
    </row>
    <row r="29" ht="16.5" customHeight="1">
      <c r="A29" s="85" t="s">
        <v>300</v>
      </c>
      <c r="B29" s="14" t="s">
        <v>301</v>
      </c>
      <c r="C29" s="14">
        <v>5.0</v>
      </c>
      <c r="D29" s="87">
        <v>27.0</v>
      </c>
      <c r="E29" s="14" t="s">
        <v>172</v>
      </c>
      <c r="F29" s="14">
        <v>3.0</v>
      </c>
      <c r="G29" s="14">
        <v>15.0</v>
      </c>
      <c r="H29" s="11" t="s">
        <v>278</v>
      </c>
      <c r="I29" s="14" t="s">
        <v>173</v>
      </c>
      <c r="J29" s="14" t="s">
        <v>17</v>
      </c>
      <c r="K29" s="14" t="s">
        <v>17</v>
      </c>
      <c r="L29" s="14" t="s">
        <v>302</v>
      </c>
      <c r="M29" s="14">
        <v>0.0</v>
      </c>
      <c r="N29" s="14" t="s">
        <v>303</v>
      </c>
      <c r="O29" s="88" t="s">
        <v>304</v>
      </c>
      <c r="P29" s="88" t="s">
        <v>305</v>
      </c>
      <c r="Q29" s="89">
        <v>1.0</v>
      </c>
      <c r="R29" s="42" t="s">
        <v>162</v>
      </c>
    </row>
    <row r="30" ht="16.5" customHeight="1">
      <c r="A30" s="85" t="s">
        <v>306</v>
      </c>
      <c r="B30" s="14" t="s">
        <v>152</v>
      </c>
      <c r="C30" s="14">
        <v>3.0</v>
      </c>
      <c r="D30" s="87">
        <v>28.0</v>
      </c>
      <c r="E30" s="14" t="s">
        <v>179</v>
      </c>
      <c r="F30" s="14">
        <v>2.0</v>
      </c>
      <c r="G30" s="14">
        <v>12.0</v>
      </c>
      <c r="H30" s="11" t="s">
        <v>278</v>
      </c>
      <c r="I30" s="14" t="s">
        <v>155</v>
      </c>
      <c r="J30" s="14" t="s">
        <v>180</v>
      </c>
      <c r="K30" s="14" t="s">
        <v>17</v>
      </c>
      <c r="L30" s="14" t="s">
        <v>307</v>
      </c>
      <c r="M30" s="14">
        <v>0.0</v>
      </c>
      <c r="N30" s="14" t="s">
        <v>308</v>
      </c>
      <c r="O30" s="88" t="s">
        <v>309</v>
      </c>
      <c r="P30" s="88" t="s">
        <v>310</v>
      </c>
      <c r="Q30" s="89">
        <v>1.0</v>
      </c>
      <c r="R30" s="42" t="s">
        <v>162</v>
      </c>
    </row>
    <row r="31" ht="16.5" customHeight="1">
      <c r="A31" s="85" t="s">
        <v>311</v>
      </c>
      <c r="B31" s="14" t="s">
        <v>263</v>
      </c>
      <c r="C31" s="14">
        <v>3.0</v>
      </c>
      <c r="D31" s="87">
        <v>23.0</v>
      </c>
      <c r="E31" s="14" t="s">
        <v>172</v>
      </c>
      <c r="F31" s="14">
        <v>3.0</v>
      </c>
      <c r="G31" s="14">
        <v>15.0</v>
      </c>
      <c r="H31" s="11" t="s">
        <v>278</v>
      </c>
      <c r="I31" s="14" t="s">
        <v>193</v>
      </c>
      <c r="J31" s="14" t="s">
        <v>156</v>
      </c>
      <c r="K31" s="14" t="s">
        <v>194</v>
      </c>
      <c r="L31" s="14" t="s">
        <v>158</v>
      </c>
      <c r="M31" s="14">
        <v>1600.0</v>
      </c>
      <c r="N31" s="14" t="s">
        <v>312</v>
      </c>
      <c r="O31" s="88" t="s">
        <v>313</v>
      </c>
      <c r="P31" s="88" t="s">
        <v>314</v>
      </c>
      <c r="Q31" s="89">
        <v>1.0</v>
      </c>
      <c r="R31" s="42" t="s">
        <v>162</v>
      </c>
    </row>
    <row r="32" ht="16.5" customHeight="1">
      <c r="A32" s="85" t="s">
        <v>315</v>
      </c>
      <c r="B32" s="14" t="s">
        <v>316</v>
      </c>
      <c r="C32" s="14">
        <v>5.0</v>
      </c>
      <c r="D32" s="87">
        <v>27.0</v>
      </c>
      <c r="E32" s="14" t="s">
        <v>172</v>
      </c>
      <c r="F32" s="14">
        <v>3.0</v>
      </c>
      <c r="G32" s="14">
        <v>15.0</v>
      </c>
      <c r="H32" s="11" t="s">
        <v>278</v>
      </c>
      <c r="I32" s="14" t="s">
        <v>166</v>
      </c>
      <c r="J32" s="14" t="s">
        <v>317</v>
      </c>
      <c r="K32" s="14" t="s">
        <v>17</v>
      </c>
      <c r="L32" s="14" t="s">
        <v>318</v>
      </c>
      <c r="M32" s="14">
        <v>0.0</v>
      </c>
      <c r="N32" s="14" t="s">
        <v>319</v>
      </c>
      <c r="O32" s="88" t="s">
        <v>320</v>
      </c>
      <c r="P32" s="88" t="s">
        <v>321</v>
      </c>
      <c r="Q32" s="89">
        <v>1.0</v>
      </c>
      <c r="R32" s="42" t="s">
        <v>162</v>
      </c>
    </row>
    <row r="33" ht="16.5" customHeight="1">
      <c r="A33" s="85" t="s">
        <v>322</v>
      </c>
      <c r="B33" s="14" t="s">
        <v>179</v>
      </c>
      <c r="C33" s="14">
        <v>5.0</v>
      </c>
      <c r="D33" s="87">
        <v>27.0</v>
      </c>
      <c r="E33" s="14" t="s">
        <v>165</v>
      </c>
      <c r="F33" s="14">
        <v>3.0</v>
      </c>
      <c r="G33" s="14">
        <v>18.0</v>
      </c>
      <c r="H33" s="11" t="s">
        <v>278</v>
      </c>
      <c r="I33" s="14" t="s">
        <v>180</v>
      </c>
      <c r="J33" s="14" t="s">
        <v>17</v>
      </c>
      <c r="K33" s="14" t="s">
        <v>17</v>
      </c>
      <c r="L33" s="14" t="s">
        <v>158</v>
      </c>
      <c r="M33" s="14">
        <v>0.0</v>
      </c>
      <c r="N33" s="14" t="s">
        <v>323</v>
      </c>
      <c r="O33" s="88" t="s">
        <v>324</v>
      </c>
      <c r="P33" s="88" t="s">
        <v>325</v>
      </c>
      <c r="Q33" s="89">
        <v>1.0</v>
      </c>
      <c r="R33" s="42" t="s">
        <v>162</v>
      </c>
    </row>
    <row r="34" ht="16.5" customHeight="1">
      <c r="A34" s="85" t="s">
        <v>326</v>
      </c>
      <c r="B34" s="14" t="s">
        <v>199</v>
      </c>
      <c r="C34" s="14">
        <v>3.0</v>
      </c>
      <c r="D34" s="87">
        <v>28.0</v>
      </c>
      <c r="E34" s="14" t="s">
        <v>165</v>
      </c>
      <c r="F34" s="14">
        <v>3.0</v>
      </c>
      <c r="G34" s="14">
        <v>18.0</v>
      </c>
      <c r="H34" s="11" t="s">
        <v>278</v>
      </c>
      <c r="I34" s="14" t="s">
        <v>193</v>
      </c>
      <c r="J34" s="14" t="s">
        <v>156</v>
      </c>
      <c r="K34" s="14" t="s">
        <v>157</v>
      </c>
      <c r="L34" s="14" t="s">
        <v>158</v>
      </c>
      <c r="M34" s="14">
        <v>1600.0</v>
      </c>
      <c r="N34" s="14" t="s">
        <v>327</v>
      </c>
      <c r="O34" s="88" t="s">
        <v>328</v>
      </c>
      <c r="P34" s="88" t="s">
        <v>329</v>
      </c>
      <c r="Q34" s="89">
        <v>1.0</v>
      </c>
      <c r="R34" s="42" t="s">
        <v>162</v>
      </c>
    </row>
    <row r="35" ht="16.5" customHeight="1">
      <c r="A35" s="85" t="s">
        <v>330</v>
      </c>
      <c r="B35" s="14" t="s">
        <v>164</v>
      </c>
      <c r="C35" s="14">
        <v>3.0</v>
      </c>
      <c r="D35" s="87">
        <v>28.0</v>
      </c>
      <c r="E35" s="14" t="s">
        <v>165</v>
      </c>
      <c r="F35" s="14">
        <v>3.0</v>
      </c>
      <c r="G35" s="14">
        <v>18.0</v>
      </c>
      <c r="H35" s="11" t="s">
        <v>278</v>
      </c>
      <c r="I35" s="14" t="s">
        <v>166</v>
      </c>
      <c r="J35" s="14" t="s">
        <v>156</v>
      </c>
      <c r="K35" s="14" t="s">
        <v>157</v>
      </c>
      <c r="L35" s="14" t="s">
        <v>158</v>
      </c>
      <c r="M35" s="14">
        <v>400.0</v>
      </c>
      <c r="N35" s="14" t="s">
        <v>331</v>
      </c>
      <c r="O35" s="88" t="s">
        <v>332</v>
      </c>
      <c r="P35" s="88" t="s">
        <v>333</v>
      </c>
      <c r="Q35" s="89">
        <v>1.0</v>
      </c>
      <c r="R35" s="42" t="s">
        <v>162</v>
      </c>
    </row>
    <row r="36" ht="16.5" customHeight="1">
      <c r="A36" s="85" t="s">
        <v>334</v>
      </c>
      <c r="B36" s="14" t="s">
        <v>210</v>
      </c>
      <c r="C36" s="14">
        <v>3.0</v>
      </c>
      <c r="D36" s="87">
        <v>28.0</v>
      </c>
      <c r="E36" s="14" t="s">
        <v>186</v>
      </c>
      <c r="F36" s="14">
        <v>3.0</v>
      </c>
      <c r="G36" s="14">
        <v>18.0</v>
      </c>
      <c r="H36" s="11" t="s">
        <v>278</v>
      </c>
      <c r="I36" s="14" t="s">
        <v>211</v>
      </c>
      <c r="J36" s="14" t="s">
        <v>156</v>
      </c>
      <c r="K36" s="14" t="s">
        <v>17</v>
      </c>
      <c r="L36" s="14" t="s">
        <v>158</v>
      </c>
      <c r="M36" s="14">
        <v>1200.0</v>
      </c>
      <c r="N36" s="14" t="s">
        <v>335</v>
      </c>
      <c r="O36" s="88" t="s">
        <v>336</v>
      </c>
      <c r="P36" s="88" t="s">
        <v>337</v>
      </c>
      <c r="Q36" s="89">
        <v>1.0</v>
      </c>
    </row>
    <row r="37" ht="16.5" customHeight="1">
      <c r="A37" s="85" t="s">
        <v>338</v>
      </c>
      <c r="B37" s="14" t="s">
        <v>192</v>
      </c>
      <c r="C37" s="14">
        <v>3.0</v>
      </c>
      <c r="D37" s="87">
        <v>28.0</v>
      </c>
      <c r="E37" s="14" t="s">
        <v>172</v>
      </c>
      <c r="F37" s="14">
        <v>3.0</v>
      </c>
      <c r="G37" s="14">
        <v>15.0</v>
      </c>
      <c r="H37" s="11" t="s">
        <v>278</v>
      </c>
      <c r="I37" s="14" t="s">
        <v>193</v>
      </c>
      <c r="J37" s="14" t="s">
        <v>205</v>
      </c>
      <c r="K37" s="14" t="s">
        <v>17</v>
      </c>
      <c r="L37" s="14" t="s">
        <v>339</v>
      </c>
      <c r="M37" s="14">
        <v>0.0</v>
      </c>
      <c r="N37" s="14" t="s">
        <v>340</v>
      </c>
      <c r="O37" s="88" t="s">
        <v>341</v>
      </c>
      <c r="P37" s="88" t="s">
        <v>342</v>
      </c>
      <c r="Q37" s="89">
        <v>1.0</v>
      </c>
    </row>
    <row r="38" ht="16.5" customHeight="1">
      <c r="A38" s="85" t="s">
        <v>343</v>
      </c>
      <c r="B38" s="14" t="s">
        <v>344</v>
      </c>
      <c r="C38" s="14">
        <v>3.0</v>
      </c>
      <c r="D38" s="87">
        <v>28.0</v>
      </c>
      <c r="E38" s="14" t="s">
        <v>345</v>
      </c>
      <c r="F38" s="14">
        <v>-2.0</v>
      </c>
      <c r="G38" s="14">
        <v>-12.0</v>
      </c>
      <c r="H38" s="11" t="s">
        <v>278</v>
      </c>
      <c r="I38" s="14" t="s">
        <v>166</v>
      </c>
      <c r="J38" s="14" t="s">
        <v>180</v>
      </c>
      <c r="K38" s="14" t="s">
        <v>17</v>
      </c>
      <c r="L38" s="14" t="s">
        <v>158</v>
      </c>
      <c r="M38" s="14">
        <v>0.0</v>
      </c>
      <c r="N38" s="14" t="s">
        <v>346</v>
      </c>
      <c r="O38" s="88" t="s">
        <v>347</v>
      </c>
      <c r="P38" s="88" t="s">
        <v>348</v>
      </c>
      <c r="Q38" s="89">
        <v>1.0</v>
      </c>
    </row>
    <row r="39" ht="16.5" customHeight="1">
      <c r="A39" s="85" t="s">
        <v>349</v>
      </c>
      <c r="B39" s="14" t="s">
        <v>216</v>
      </c>
      <c r="C39" s="14">
        <v>3.0</v>
      </c>
      <c r="D39" s="87">
        <v>23.0</v>
      </c>
      <c r="E39" s="14" t="s">
        <v>345</v>
      </c>
      <c r="F39" s="14">
        <v>-2.0</v>
      </c>
      <c r="G39" s="14">
        <v>-12.0</v>
      </c>
      <c r="H39" s="11" t="s">
        <v>278</v>
      </c>
      <c r="I39" s="14" t="s">
        <v>155</v>
      </c>
      <c r="J39" s="14" t="s">
        <v>180</v>
      </c>
      <c r="K39" s="14" t="s">
        <v>17</v>
      </c>
      <c r="L39" s="14" t="s">
        <v>158</v>
      </c>
      <c r="M39" s="14">
        <v>0.0</v>
      </c>
      <c r="N39" s="14" t="s">
        <v>350</v>
      </c>
      <c r="O39" s="88" t="s">
        <v>351</v>
      </c>
      <c r="P39" s="88" t="s">
        <v>352</v>
      </c>
      <c r="Q39" s="89">
        <v>1.0</v>
      </c>
    </row>
    <row r="40" ht="16.5" customHeight="1">
      <c r="A40" s="85" t="s">
        <v>353</v>
      </c>
      <c r="B40" s="14" t="s">
        <v>354</v>
      </c>
      <c r="C40" s="14">
        <v>3.0</v>
      </c>
      <c r="D40" s="87">
        <v>28.0</v>
      </c>
      <c r="E40" s="14" t="s">
        <v>186</v>
      </c>
      <c r="F40" s="14">
        <v>3.0</v>
      </c>
      <c r="G40" s="14">
        <v>18.0</v>
      </c>
      <c r="H40" s="11" t="s">
        <v>278</v>
      </c>
      <c r="I40" s="14" t="s">
        <v>155</v>
      </c>
      <c r="J40" s="14" t="s">
        <v>156</v>
      </c>
      <c r="K40" s="14" t="s">
        <v>157</v>
      </c>
      <c r="L40" s="14" t="s">
        <v>158</v>
      </c>
      <c r="M40" s="14">
        <v>600.0</v>
      </c>
      <c r="N40" s="14" t="s">
        <v>355</v>
      </c>
      <c r="O40" s="88" t="s">
        <v>356</v>
      </c>
      <c r="P40" s="88" t="s">
        <v>357</v>
      </c>
      <c r="Q40" s="89">
        <v>1.0</v>
      </c>
    </row>
    <row r="41" ht="16.5" customHeight="1">
      <c r="A41" s="85" t="s">
        <v>358</v>
      </c>
      <c r="B41" s="14" t="s">
        <v>263</v>
      </c>
      <c r="C41" s="14">
        <v>3.0</v>
      </c>
      <c r="D41" s="87">
        <v>23.0</v>
      </c>
      <c r="E41" s="14" t="s">
        <v>172</v>
      </c>
      <c r="F41" s="14">
        <v>3.0</v>
      </c>
      <c r="G41" s="14">
        <v>15.0</v>
      </c>
      <c r="H41" s="11" t="s">
        <v>278</v>
      </c>
      <c r="I41" s="14" t="s">
        <v>193</v>
      </c>
      <c r="J41" s="14" t="s">
        <v>156</v>
      </c>
      <c r="K41" s="14" t="s">
        <v>194</v>
      </c>
      <c r="L41" s="14" t="s">
        <v>359</v>
      </c>
      <c r="M41" s="14">
        <v>0.0</v>
      </c>
      <c r="N41" s="14" t="s">
        <v>360</v>
      </c>
      <c r="O41" s="88" t="s">
        <v>361</v>
      </c>
      <c r="P41" s="88" t="s">
        <v>362</v>
      </c>
      <c r="Q41" s="89">
        <v>1.0</v>
      </c>
    </row>
    <row r="42" ht="16.5" customHeight="1">
      <c r="A42" s="85" t="s">
        <v>363</v>
      </c>
      <c r="B42" s="14" t="s">
        <v>344</v>
      </c>
      <c r="C42" s="14">
        <v>2.0</v>
      </c>
      <c r="D42" s="87">
        <v>18.0</v>
      </c>
      <c r="E42" s="14" t="s">
        <v>186</v>
      </c>
      <c r="F42" s="14">
        <v>2.0</v>
      </c>
      <c r="G42" s="14">
        <v>14.0</v>
      </c>
      <c r="H42" s="11" t="s">
        <v>364</v>
      </c>
      <c r="I42" s="14" t="s">
        <v>166</v>
      </c>
      <c r="J42" s="14" t="s">
        <v>180</v>
      </c>
      <c r="K42" s="14" t="s">
        <v>17</v>
      </c>
      <c r="L42" s="14" t="s">
        <v>158</v>
      </c>
      <c r="M42" s="14">
        <v>0.0</v>
      </c>
      <c r="N42" s="14" t="s">
        <v>365</v>
      </c>
      <c r="O42" s="88" t="s">
        <v>366</v>
      </c>
      <c r="P42" s="88" t="s">
        <v>367</v>
      </c>
      <c r="Q42" s="89">
        <v>1.0</v>
      </c>
    </row>
    <row r="43" ht="16.5" customHeight="1">
      <c r="A43" s="85" t="s">
        <v>368</v>
      </c>
      <c r="B43" s="14" t="s">
        <v>152</v>
      </c>
      <c r="C43" s="14">
        <v>2.0</v>
      </c>
      <c r="D43" s="87">
        <v>18.0</v>
      </c>
      <c r="E43" s="14" t="s">
        <v>165</v>
      </c>
      <c r="F43" s="14">
        <v>2.0</v>
      </c>
      <c r="G43" s="14">
        <v>14.0</v>
      </c>
      <c r="H43" s="11" t="s">
        <v>364</v>
      </c>
      <c r="I43" s="14" t="s">
        <v>155</v>
      </c>
      <c r="J43" s="14" t="s">
        <v>156</v>
      </c>
      <c r="K43" s="14" t="s">
        <v>17</v>
      </c>
      <c r="L43" s="14" t="s">
        <v>307</v>
      </c>
      <c r="M43" s="14">
        <v>600.0</v>
      </c>
      <c r="N43" s="14" t="s">
        <v>369</v>
      </c>
      <c r="O43" s="88" t="s">
        <v>370</v>
      </c>
      <c r="P43" s="88" t="s">
        <v>371</v>
      </c>
      <c r="Q43" s="89">
        <v>1.0</v>
      </c>
    </row>
    <row r="44" ht="16.5" customHeight="1">
      <c r="A44" s="85" t="s">
        <v>372</v>
      </c>
      <c r="B44" s="14" t="s">
        <v>153</v>
      </c>
      <c r="C44" s="14">
        <v>3.0</v>
      </c>
      <c r="D44" s="87">
        <v>18.0</v>
      </c>
      <c r="E44" s="14" t="s">
        <v>172</v>
      </c>
      <c r="F44" s="14">
        <v>2.0</v>
      </c>
      <c r="G44" s="14">
        <v>11.0</v>
      </c>
      <c r="H44" s="11" t="s">
        <v>364</v>
      </c>
      <c r="I44" s="14" t="s">
        <v>217</v>
      </c>
      <c r="J44" s="14" t="s">
        <v>17</v>
      </c>
      <c r="K44" s="14" t="s">
        <v>17</v>
      </c>
      <c r="L44" s="14" t="s">
        <v>307</v>
      </c>
      <c r="M44" s="14">
        <v>0.0</v>
      </c>
      <c r="N44" s="14" t="s">
        <v>373</v>
      </c>
      <c r="O44" s="88" t="s">
        <v>374</v>
      </c>
      <c r="P44" s="88" t="s">
        <v>375</v>
      </c>
      <c r="Q44" s="89">
        <v>1.0</v>
      </c>
    </row>
    <row r="45" ht="16.5" customHeight="1">
      <c r="A45" s="85" t="s">
        <v>376</v>
      </c>
      <c r="B45" s="14" t="s">
        <v>377</v>
      </c>
      <c r="C45" s="14">
        <v>2.0</v>
      </c>
      <c r="D45" s="87">
        <v>15.0</v>
      </c>
      <c r="E45" s="14" t="s">
        <v>165</v>
      </c>
      <c r="F45" s="14">
        <v>2.0</v>
      </c>
      <c r="G45" s="14">
        <v>14.0</v>
      </c>
      <c r="H45" s="11" t="s">
        <v>364</v>
      </c>
      <c r="I45" s="14" t="s">
        <v>211</v>
      </c>
      <c r="J45" s="14" t="s">
        <v>156</v>
      </c>
      <c r="K45" s="14" t="s">
        <v>157</v>
      </c>
      <c r="L45" s="14" t="s">
        <v>158</v>
      </c>
      <c r="M45" s="14">
        <v>1200.0</v>
      </c>
      <c r="N45" s="14" t="s">
        <v>378</v>
      </c>
      <c r="O45" s="88" t="s">
        <v>379</v>
      </c>
      <c r="P45" s="88" t="s">
        <v>380</v>
      </c>
      <c r="Q45" s="89">
        <v>1.0</v>
      </c>
    </row>
    <row r="46" ht="16.5" customHeight="1">
      <c r="A46" s="85" t="s">
        <v>381</v>
      </c>
      <c r="B46" s="14" t="s">
        <v>192</v>
      </c>
      <c r="C46" s="14">
        <v>2.0</v>
      </c>
      <c r="D46" s="87">
        <v>18.0</v>
      </c>
      <c r="E46" s="14" t="s">
        <v>172</v>
      </c>
      <c r="F46" s="14">
        <v>2.0</v>
      </c>
      <c r="G46" s="14">
        <v>11.0</v>
      </c>
      <c r="H46" s="11" t="s">
        <v>364</v>
      </c>
      <c r="I46" s="14" t="s">
        <v>193</v>
      </c>
      <c r="J46" s="14" t="s">
        <v>156</v>
      </c>
      <c r="K46" s="14" t="s">
        <v>157</v>
      </c>
      <c r="L46" s="14" t="s">
        <v>158</v>
      </c>
      <c r="M46" s="14">
        <v>1600.0</v>
      </c>
      <c r="N46" s="14" t="s">
        <v>382</v>
      </c>
      <c r="O46" s="88" t="s">
        <v>383</v>
      </c>
      <c r="P46" s="88" t="s">
        <v>384</v>
      </c>
      <c r="Q46" s="89">
        <v>1.0</v>
      </c>
    </row>
    <row r="47" ht="16.5" customHeight="1">
      <c r="A47" s="85" t="s">
        <v>385</v>
      </c>
      <c r="B47" s="14" t="s">
        <v>301</v>
      </c>
      <c r="C47" s="14">
        <v>3.0</v>
      </c>
      <c r="D47" s="87">
        <v>18.0</v>
      </c>
      <c r="E47" s="14" t="s">
        <v>172</v>
      </c>
      <c r="F47" s="14">
        <v>2.0</v>
      </c>
      <c r="G47" s="14">
        <v>11.0</v>
      </c>
      <c r="H47" s="11" t="s">
        <v>364</v>
      </c>
      <c r="I47" s="14" t="s">
        <v>204</v>
      </c>
      <c r="J47" s="14" t="s">
        <v>17</v>
      </c>
      <c r="K47" s="14" t="s">
        <v>17</v>
      </c>
      <c r="L47" s="14" t="s">
        <v>386</v>
      </c>
      <c r="M47" s="14">
        <v>0.0</v>
      </c>
      <c r="N47" s="14" t="s">
        <v>387</v>
      </c>
      <c r="O47" s="88" t="s">
        <v>388</v>
      </c>
      <c r="P47" s="88" t="s">
        <v>389</v>
      </c>
      <c r="Q47" s="89">
        <v>1.0</v>
      </c>
    </row>
    <row r="48" ht="16.5" customHeight="1">
      <c r="A48" s="85" t="s">
        <v>390</v>
      </c>
      <c r="B48" s="14" t="s">
        <v>152</v>
      </c>
      <c r="C48" s="14">
        <v>2.0</v>
      </c>
      <c r="D48" s="87">
        <v>18.0</v>
      </c>
      <c r="E48" s="14" t="s">
        <v>186</v>
      </c>
      <c r="F48" s="14">
        <v>2.0</v>
      </c>
      <c r="G48" s="14">
        <v>14.0</v>
      </c>
      <c r="H48" s="11" t="s">
        <v>364</v>
      </c>
      <c r="I48" s="14" t="s">
        <v>155</v>
      </c>
      <c r="J48" s="14" t="s">
        <v>156</v>
      </c>
      <c r="K48" s="14" t="s">
        <v>157</v>
      </c>
      <c r="L48" s="14" t="s">
        <v>158</v>
      </c>
      <c r="M48" s="14">
        <v>600.0</v>
      </c>
      <c r="N48" s="14" t="s">
        <v>391</v>
      </c>
      <c r="O48" s="88" t="s">
        <v>392</v>
      </c>
      <c r="P48" s="88" t="s">
        <v>393</v>
      </c>
      <c r="Q48" s="89">
        <v>1.0</v>
      </c>
    </row>
    <row r="49" ht="16.5" customHeight="1">
      <c r="A49" s="85" t="s">
        <v>394</v>
      </c>
      <c r="B49" s="14" t="s">
        <v>164</v>
      </c>
      <c r="C49" s="14">
        <v>2.0</v>
      </c>
      <c r="D49" s="87">
        <v>18.0</v>
      </c>
      <c r="E49" s="14" t="s">
        <v>165</v>
      </c>
      <c r="F49" s="14">
        <v>2.0</v>
      </c>
      <c r="G49" s="14">
        <v>14.0</v>
      </c>
      <c r="H49" s="11" t="s">
        <v>364</v>
      </c>
      <c r="I49" s="14" t="s">
        <v>166</v>
      </c>
      <c r="J49" s="14" t="s">
        <v>156</v>
      </c>
      <c r="K49" s="14" t="s">
        <v>17</v>
      </c>
      <c r="L49" s="14" t="s">
        <v>158</v>
      </c>
      <c r="M49" s="14">
        <v>400.0</v>
      </c>
      <c r="N49" s="14" t="s">
        <v>395</v>
      </c>
      <c r="O49" s="88" t="s">
        <v>396</v>
      </c>
      <c r="P49" s="88" t="s">
        <v>397</v>
      </c>
      <c r="Q49" s="89">
        <v>1.0</v>
      </c>
    </row>
    <row r="50" ht="16.5" customHeight="1">
      <c r="A50" s="85" t="s">
        <v>398</v>
      </c>
      <c r="B50" s="14" t="s">
        <v>171</v>
      </c>
      <c r="C50" s="14">
        <v>1.0</v>
      </c>
      <c r="D50" s="87">
        <v>10.0</v>
      </c>
      <c r="E50" s="14" t="s">
        <v>165</v>
      </c>
      <c r="F50" s="14">
        <v>1.0</v>
      </c>
      <c r="G50" s="14">
        <v>9.0</v>
      </c>
      <c r="H50" s="11" t="s">
        <v>399</v>
      </c>
      <c r="I50" s="14" t="s">
        <v>204</v>
      </c>
      <c r="J50" s="14" t="s">
        <v>17</v>
      </c>
      <c r="K50" s="14" t="s">
        <v>17</v>
      </c>
      <c r="L50" s="14" t="s">
        <v>386</v>
      </c>
      <c r="M50" s="14">
        <v>0.0</v>
      </c>
      <c r="N50" s="14" t="s">
        <v>400</v>
      </c>
      <c r="O50" s="88" t="s">
        <v>401</v>
      </c>
      <c r="P50" s="88" t="s">
        <v>389</v>
      </c>
      <c r="Q50" s="89">
        <v>1.0</v>
      </c>
    </row>
    <row r="51" ht="16.5" customHeight="1">
      <c r="A51" s="85" t="s">
        <v>402</v>
      </c>
      <c r="B51" s="14" t="s">
        <v>301</v>
      </c>
      <c r="C51" s="14">
        <v>1.0</v>
      </c>
      <c r="D51" s="87">
        <v>10.0</v>
      </c>
      <c r="E51" s="14" t="s">
        <v>186</v>
      </c>
      <c r="F51" s="14">
        <v>1.0</v>
      </c>
      <c r="G51" s="14">
        <v>9.0</v>
      </c>
      <c r="H51" s="11" t="s">
        <v>399</v>
      </c>
      <c r="I51" s="14" t="s">
        <v>204</v>
      </c>
      <c r="J51" s="14" t="s">
        <v>17</v>
      </c>
      <c r="K51" s="14" t="s">
        <v>17</v>
      </c>
      <c r="L51" s="14" t="s">
        <v>403</v>
      </c>
      <c r="M51" s="14">
        <v>0.0</v>
      </c>
      <c r="N51" s="14" t="s">
        <v>404</v>
      </c>
      <c r="O51" s="88" t="s">
        <v>405</v>
      </c>
      <c r="P51" s="88" t="s">
        <v>406</v>
      </c>
      <c r="Q51" s="89">
        <v>1.0</v>
      </c>
    </row>
    <row r="52" ht="16.5" customHeight="1">
      <c r="A52" s="85" t="s">
        <v>407</v>
      </c>
      <c r="B52" s="14" t="s">
        <v>316</v>
      </c>
      <c r="C52" s="14">
        <v>1.0</v>
      </c>
      <c r="D52" s="87">
        <v>10.0</v>
      </c>
      <c r="E52" s="14" t="s">
        <v>172</v>
      </c>
      <c r="F52" s="14">
        <v>1.0</v>
      </c>
      <c r="G52" s="14">
        <v>9.0</v>
      </c>
      <c r="H52" s="11" t="s">
        <v>399</v>
      </c>
      <c r="I52" s="14" t="s">
        <v>204</v>
      </c>
      <c r="J52" s="14" t="s">
        <v>17</v>
      </c>
      <c r="K52" s="14" t="s">
        <v>17</v>
      </c>
      <c r="L52" s="14" t="s">
        <v>403</v>
      </c>
      <c r="M52" s="14">
        <v>0.0</v>
      </c>
      <c r="N52" s="14" t="s">
        <v>408</v>
      </c>
      <c r="O52" s="88" t="s">
        <v>409</v>
      </c>
      <c r="P52" s="88" t="s">
        <v>406</v>
      </c>
      <c r="Q52" s="89">
        <v>1.0</v>
      </c>
    </row>
    <row r="53" ht="16.5" customHeight="1">
      <c r="A53" s="85" t="s">
        <v>410</v>
      </c>
      <c r="B53" s="42" t="s">
        <v>344</v>
      </c>
      <c r="C53" s="42">
        <v>5.0</v>
      </c>
      <c r="D53" s="91">
        <v>40.0</v>
      </c>
      <c r="E53" s="42" t="s">
        <v>186</v>
      </c>
      <c r="F53" s="42">
        <v>4.0</v>
      </c>
      <c r="G53" s="42">
        <v>22.0</v>
      </c>
      <c r="H53" s="11" t="s">
        <v>154</v>
      </c>
      <c r="I53" s="42" t="s">
        <v>166</v>
      </c>
      <c r="J53" s="42" t="s">
        <v>156</v>
      </c>
      <c r="K53" s="42" t="s">
        <v>227</v>
      </c>
      <c r="L53" s="42" t="s">
        <v>158</v>
      </c>
      <c r="M53" s="42">
        <v>400.0</v>
      </c>
      <c r="N53" s="11" t="s">
        <v>411</v>
      </c>
      <c r="O53" s="88" t="s">
        <v>412</v>
      </c>
      <c r="P53" s="88" t="s">
        <v>413</v>
      </c>
      <c r="Q53" s="89">
        <v>1.0</v>
      </c>
    </row>
    <row r="54" ht="16.5" customHeight="1">
      <c r="A54" s="85" t="s">
        <v>414</v>
      </c>
      <c r="B54" s="42" t="s">
        <v>199</v>
      </c>
      <c r="C54" s="42">
        <v>5.0</v>
      </c>
      <c r="D54" s="91">
        <v>40.0</v>
      </c>
      <c r="E54" s="42" t="s">
        <v>165</v>
      </c>
      <c r="F54" s="42">
        <v>4.0</v>
      </c>
      <c r="G54" s="42">
        <v>22.0</v>
      </c>
      <c r="H54" s="11" t="s">
        <v>154</v>
      </c>
      <c r="I54" s="14" t="s">
        <v>193</v>
      </c>
      <c r="J54" s="14" t="s">
        <v>156</v>
      </c>
      <c r="K54" s="14" t="s">
        <v>194</v>
      </c>
      <c r="L54" s="14" t="s">
        <v>158</v>
      </c>
      <c r="M54" s="14">
        <v>1600.0</v>
      </c>
      <c r="N54" s="14" t="s">
        <v>415</v>
      </c>
      <c r="O54" s="90" t="s">
        <v>416</v>
      </c>
      <c r="P54" s="88" t="s">
        <v>417</v>
      </c>
      <c r="Q54" s="89">
        <v>2.0</v>
      </c>
    </row>
    <row r="55" ht="16.5" customHeight="1">
      <c r="A55" s="85" t="s">
        <v>418</v>
      </c>
      <c r="B55" s="11" t="s">
        <v>152</v>
      </c>
      <c r="C55" s="86">
        <v>5.0</v>
      </c>
      <c r="D55" s="87">
        <v>40.0</v>
      </c>
      <c r="E55" s="11" t="s">
        <v>165</v>
      </c>
      <c r="F55" s="11">
        <v>4.0</v>
      </c>
      <c r="G55" s="11">
        <v>22.0</v>
      </c>
      <c r="H55" s="11" t="s">
        <v>154</v>
      </c>
      <c r="I55" s="14" t="s">
        <v>155</v>
      </c>
      <c r="J55" s="14" t="s">
        <v>156</v>
      </c>
      <c r="K55" s="14" t="s">
        <v>205</v>
      </c>
      <c r="L55" s="14" t="s">
        <v>158</v>
      </c>
      <c r="M55" s="14">
        <v>600.0</v>
      </c>
      <c r="N55" s="14" t="s">
        <v>419</v>
      </c>
      <c r="O55" s="88" t="s">
        <v>420</v>
      </c>
      <c r="P55" s="88" t="s">
        <v>421</v>
      </c>
      <c r="Q55" s="89">
        <v>2.0</v>
      </c>
    </row>
    <row r="56" ht="16.5" customHeight="1">
      <c r="A56" s="85" t="s">
        <v>422</v>
      </c>
      <c r="B56" s="11" t="s">
        <v>152</v>
      </c>
      <c r="C56" s="86">
        <v>5.0</v>
      </c>
      <c r="D56" s="87">
        <v>40.0</v>
      </c>
      <c r="E56" s="11" t="s">
        <v>165</v>
      </c>
      <c r="F56" s="11">
        <v>4.0</v>
      </c>
      <c r="G56" s="11">
        <v>22.0</v>
      </c>
      <c r="H56" s="11" t="s">
        <v>154</v>
      </c>
      <c r="I56" s="14" t="s">
        <v>155</v>
      </c>
      <c r="J56" s="14" t="s">
        <v>156</v>
      </c>
      <c r="K56" s="14" t="s">
        <v>157</v>
      </c>
      <c r="L56" s="14" t="s">
        <v>158</v>
      </c>
      <c r="M56" s="14">
        <v>600.0</v>
      </c>
      <c r="N56" s="14" t="s">
        <v>423</v>
      </c>
      <c r="O56" s="88" t="s">
        <v>424</v>
      </c>
      <c r="P56" s="88" t="s">
        <v>425</v>
      </c>
      <c r="Q56" s="89">
        <v>2.0</v>
      </c>
    </row>
    <row r="57" ht="16.5" customHeight="1">
      <c r="A57" s="85" t="s">
        <v>426</v>
      </c>
      <c r="B57" s="11" t="s">
        <v>222</v>
      </c>
      <c r="C57" s="86">
        <v>5.0</v>
      </c>
      <c r="D57" s="87">
        <v>40.0</v>
      </c>
      <c r="E57" s="11" t="s">
        <v>165</v>
      </c>
      <c r="F57" s="11">
        <v>4.0</v>
      </c>
      <c r="G57" s="11">
        <v>22.0</v>
      </c>
      <c r="H57" s="11" t="s">
        <v>154</v>
      </c>
      <c r="I57" s="14" t="s">
        <v>211</v>
      </c>
      <c r="J57" s="14" t="s">
        <v>156</v>
      </c>
      <c r="K57" s="14" t="s">
        <v>227</v>
      </c>
      <c r="L57" s="14" t="s">
        <v>158</v>
      </c>
      <c r="M57" s="14">
        <v>1200.0</v>
      </c>
      <c r="N57" s="14" t="s">
        <v>427</v>
      </c>
      <c r="O57" s="88" t="s">
        <v>428</v>
      </c>
      <c r="P57" s="88" t="s">
        <v>429</v>
      </c>
      <c r="Q57" s="89">
        <v>2.0</v>
      </c>
    </row>
    <row r="58" ht="16.5" customHeight="1">
      <c r="A58" s="85" t="s">
        <v>430</v>
      </c>
      <c r="B58" s="14" t="s">
        <v>344</v>
      </c>
      <c r="C58" s="86">
        <v>5.0</v>
      </c>
      <c r="D58" s="87">
        <v>40.0</v>
      </c>
      <c r="E58" s="14" t="s">
        <v>186</v>
      </c>
      <c r="F58" s="14">
        <v>4.0</v>
      </c>
      <c r="G58" s="14">
        <v>22.0</v>
      </c>
      <c r="H58" s="11" t="s">
        <v>154</v>
      </c>
      <c r="I58" s="11" t="s">
        <v>166</v>
      </c>
      <c r="J58" s="11" t="s">
        <v>156</v>
      </c>
      <c r="K58" s="11" t="s">
        <v>227</v>
      </c>
      <c r="L58" s="11" t="s">
        <v>158</v>
      </c>
      <c r="M58" s="11">
        <v>400.0</v>
      </c>
      <c r="N58" s="14" t="s">
        <v>431</v>
      </c>
      <c r="O58" s="88" t="s">
        <v>432</v>
      </c>
      <c r="P58" s="88" t="s">
        <v>433</v>
      </c>
      <c r="Q58" s="89">
        <v>2.0</v>
      </c>
    </row>
    <row r="59" ht="16.5" customHeight="1">
      <c r="A59" s="85" t="s">
        <v>434</v>
      </c>
      <c r="B59" s="42" t="s">
        <v>199</v>
      </c>
      <c r="C59" s="86">
        <v>5.0</v>
      </c>
      <c r="D59" s="87">
        <v>40.0</v>
      </c>
      <c r="E59" s="42" t="s">
        <v>165</v>
      </c>
      <c r="F59" s="14">
        <v>4.0</v>
      </c>
      <c r="G59" s="14">
        <v>22.0</v>
      </c>
      <c r="H59" s="11" t="s">
        <v>154</v>
      </c>
      <c r="I59" s="42" t="s">
        <v>193</v>
      </c>
      <c r="J59" s="42" t="s">
        <v>156</v>
      </c>
      <c r="K59" s="42" t="s">
        <v>157</v>
      </c>
      <c r="L59" s="42" t="s">
        <v>158</v>
      </c>
      <c r="M59" s="42">
        <v>1600.0</v>
      </c>
      <c r="N59" s="14" t="s">
        <v>435</v>
      </c>
      <c r="O59" s="88" t="s">
        <v>436</v>
      </c>
      <c r="P59" s="88" t="s">
        <v>437</v>
      </c>
      <c r="Q59" s="89">
        <v>2.0</v>
      </c>
    </row>
    <row r="60" ht="16.5" customHeight="1">
      <c r="A60" s="85" t="s">
        <v>438</v>
      </c>
      <c r="B60" s="42" t="s">
        <v>377</v>
      </c>
      <c r="C60" s="86">
        <v>5.0</v>
      </c>
      <c r="D60" s="87">
        <v>33.0</v>
      </c>
      <c r="E60" s="42" t="s">
        <v>172</v>
      </c>
      <c r="F60" s="14">
        <v>4.0</v>
      </c>
      <c r="G60" s="14">
        <v>17.0</v>
      </c>
      <c r="H60" s="11" t="s">
        <v>154</v>
      </c>
      <c r="I60" s="42" t="s">
        <v>211</v>
      </c>
      <c r="J60" s="42" t="s">
        <v>156</v>
      </c>
      <c r="K60" s="42" t="s">
        <v>157</v>
      </c>
      <c r="L60" s="42" t="s">
        <v>158</v>
      </c>
      <c r="M60" s="42">
        <v>1200.0</v>
      </c>
      <c r="N60" s="14" t="s">
        <v>439</v>
      </c>
      <c r="O60" s="88" t="s">
        <v>440</v>
      </c>
      <c r="P60" s="88" t="s">
        <v>161</v>
      </c>
      <c r="Q60" s="89">
        <v>1.0</v>
      </c>
    </row>
    <row r="61" ht="16.5" customHeight="1">
      <c r="A61" s="85" t="s">
        <v>441</v>
      </c>
      <c r="B61" s="42" t="s">
        <v>222</v>
      </c>
      <c r="C61" s="86">
        <v>5.0</v>
      </c>
      <c r="D61" s="87">
        <v>40.0</v>
      </c>
      <c r="E61" s="42" t="s">
        <v>165</v>
      </c>
      <c r="F61" s="14">
        <v>4.0</v>
      </c>
      <c r="G61" s="14">
        <v>22.0</v>
      </c>
      <c r="H61" s="11" t="s">
        <v>154</v>
      </c>
      <c r="I61" s="42" t="s">
        <v>211</v>
      </c>
      <c r="J61" s="42" t="s">
        <v>156</v>
      </c>
      <c r="K61" s="42" t="s">
        <v>157</v>
      </c>
      <c r="L61" s="42" t="s">
        <v>158</v>
      </c>
      <c r="M61" s="42">
        <v>1200.0</v>
      </c>
      <c r="N61" s="14" t="s">
        <v>442</v>
      </c>
      <c r="O61" s="88" t="s">
        <v>443</v>
      </c>
      <c r="P61" s="88" t="s">
        <v>444</v>
      </c>
      <c r="Q61" s="89">
        <v>3.0</v>
      </c>
    </row>
    <row r="62" ht="16.5" customHeight="1">
      <c r="A62" s="85" t="s">
        <v>445</v>
      </c>
      <c r="B62" s="42" t="s">
        <v>171</v>
      </c>
      <c r="C62" s="86">
        <v>8.0</v>
      </c>
      <c r="D62" s="87">
        <v>40.0</v>
      </c>
      <c r="E62" s="42" t="s">
        <v>153</v>
      </c>
      <c r="F62" s="14">
        <v>3.0</v>
      </c>
      <c r="G62" s="14">
        <v>18.0</v>
      </c>
      <c r="H62" s="11" t="s">
        <v>154</v>
      </c>
      <c r="I62" s="42" t="s">
        <v>173</v>
      </c>
      <c r="J62" s="42" t="s">
        <v>17</v>
      </c>
      <c r="K62" s="42" t="s">
        <v>17</v>
      </c>
      <c r="L62" s="42" t="s">
        <v>231</v>
      </c>
      <c r="M62" s="42">
        <v>0.0</v>
      </c>
      <c r="N62" s="14" t="s">
        <v>446</v>
      </c>
      <c r="O62" s="88" t="s">
        <v>447</v>
      </c>
      <c r="P62" s="88" t="s">
        <v>448</v>
      </c>
      <c r="Q62" s="89">
        <v>3.0</v>
      </c>
    </row>
    <row r="63" ht="16.5" customHeight="1">
      <c r="A63" s="85" t="s">
        <v>449</v>
      </c>
      <c r="B63" s="42" t="s">
        <v>153</v>
      </c>
      <c r="C63" s="86">
        <v>5.0</v>
      </c>
      <c r="D63" s="87">
        <v>33.0</v>
      </c>
      <c r="E63" s="42" t="s">
        <v>172</v>
      </c>
      <c r="F63" s="14">
        <v>4.0</v>
      </c>
      <c r="G63" s="14">
        <v>17.0</v>
      </c>
      <c r="H63" s="11" t="s">
        <v>154</v>
      </c>
      <c r="I63" s="42" t="s">
        <v>204</v>
      </c>
      <c r="J63" s="42" t="s">
        <v>17</v>
      </c>
      <c r="K63" s="42" t="s">
        <v>17</v>
      </c>
      <c r="L63" s="42" t="s">
        <v>450</v>
      </c>
      <c r="M63" s="42">
        <v>0.0</v>
      </c>
      <c r="N63" s="14" t="s">
        <v>451</v>
      </c>
      <c r="O63" s="88" t="s">
        <v>452</v>
      </c>
      <c r="P63" s="88" t="s">
        <v>453</v>
      </c>
      <c r="Q63" s="89">
        <v>3.0</v>
      </c>
    </row>
    <row r="64" ht="16.5" customHeight="1">
      <c r="A64" s="85" t="s">
        <v>454</v>
      </c>
      <c r="B64" s="42" t="s">
        <v>344</v>
      </c>
      <c r="C64" s="86">
        <v>5.0</v>
      </c>
      <c r="D64" s="87">
        <v>40.0</v>
      </c>
      <c r="E64" s="42" t="s">
        <v>172</v>
      </c>
      <c r="F64" s="14">
        <v>4.0</v>
      </c>
      <c r="G64" s="14">
        <v>17.0</v>
      </c>
      <c r="H64" s="11" t="s">
        <v>154</v>
      </c>
      <c r="I64" s="42" t="s">
        <v>166</v>
      </c>
      <c r="J64" s="42" t="s">
        <v>156</v>
      </c>
      <c r="K64" s="42" t="s">
        <v>227</v>
      </c>
      <c r="L64" s="42" t="s">
        <v>158</v>
      </c>
      <c r="M64" s="42">
        <v>400.0</v>
      </c>
      <c r="N64" s="14" t="s">
        <v>455</v>
      </c>
      <c r="O64" s="88" t="s">
        <v>456</v>
      </c>
      <c r="P64" s="88" t="s">
        <v>457</v>
      </c>
      <c r="Q64" s="89">
        <v>3.0</v>
      </c>
    </row>
    <row r="65" ht="16.5" customHeight="1">
      <c r="A65" s="85" t="s">
        <v>458</v>
      </c>
      <c r="B65" s="42" t="s">
        <v>152</v>
      </c>
      <c r="C65" s="86">
        <v>5.0</v>
      </c>
      <c r="D65" s="87">
        <v>40.0</v>
      </c>
      <c r="E65" s="42" t="s">
        <v>186</v>
      </c>
      <c r="F65" s="14">
        <v>4.0</v>
      </c>
      <c r="G65" s="14">
        <v>22.0</v>
      </c>
      <c r="H65" s="11" t="s">
        <v>154</v>
      </c>
      <c r="I65" s="42" t="s">
        <v>155</v>
      </c>
      <c r="J65" s="42" t="s">
        <v>156</v>
      </c>
      <c r="K65" s="42" t="s">
        <v>157</v>
      </c>
      <c r="L65" s="42" t="s">
        <v>158</v>
      </c>
      <c r="M65" s="42">
        <v>600.0</v>
      </c>
      <c r="N65" s="14" t="s">
        <v>459</v>
      </c>
      <c r="O65" s="88" t="s">
        <v>460</v>
      </c>
      <c r="P65" s="88" t="s">
        <v>461</v>
      </c>
      <c r="Q65" s="89">
        <v>3.0</v>
      </c>
    </row>
    <row r="66" ht="16.5" customHeight="1">
      <c r="A66" s="85" t="s">
        <v>462</v>
      </c>
      <c r="B66" s="42" t="s">
        <v>164</v>
      </c>
      <c r="C66" s="86">
        <v>5.0</v>
      </c>
      <c r="D66" s="87">
        <v>40.0</v>
      </c>
      <c r="E66" s="42" t="s">
        <v>172</v>
      </c>
      <c r="F66" s="14">
        <v>4.0</v>
      </c>
      <c r="G66" s="14">
        <v>17.0</v>
      </c>
      <c r="H66" s="11" t="s">
        <v>154</v>
      </c>
      <c r="I66" s="42" t="s">
        <v>166</v>
      </c>
      <c r="J66" s="42" t="s">
        <v>156</v>
      </c>
      <c r="K66" s="42" t="s">
        <v>227</v>
      </c>
      <c r="L66" s="42" t="s">
        <v>158</v>
      </c>
      <c r="M66" s="42">
        <v>400.0</v>
      </c>
      <c r="N66" s="14" t="s">
        <v>463</v>
      </c>
      <c r="O66" s="88" t="s">
        <v>464</v>
      </c>
      <c r="P66" s="88" t="s">
        <v>465</v>
      </c>
      <c r="Q66" s="89">
        <v>3.0</v>
      </c>
    </row>
    <row r="67" ht="16.5" customHeight="1">
      <c r="A67" s="85" t="s">
        <v>466</v>
      </c>
      <c r="B67" s="42" t="s">
        <v>222</v>
      </c>
      <c r="C67" s="86">
        <v>5.0</v>
      </c>
      <c r="D67" s="87">
        <v>40.0</v>
      </c>
      <c r="E67" s="42" t="s">
        <v>165</v>
      </c>
      <c r="F67" s="14">
        <v>4.0</v>
      </c>
      <c r="G67" s="14">
        <v>22.0</v>
      </c>
      <c r="H67" s="11" t="s">
        <v>154</v>
      </c>
      <c r="I67" s="42" t="s">
        <v>211</v>
      </c>
      <c r="J67" s="42" t="s">
        <v>156</v>
      </c>
      <c r="K67" s="42" t="s">
        <v>157</v>
      </c>
      <c r="L67" s="42" t="s">
        <v>158</v>
      </c>
      <c r="M67" s="42">
        <v>1200.0</v>
      </c>
      <c r="N67" s="14" t="s">
        <v>467</v>
      </c>
      <c r="O67" s="88" t="s">
        <v>468</v>
      </c>
      <c r="P67" s="88" t="s">
        <v>469</v>
      </c>
      <c r="Q67" s="89">
        <v>4.0</v>
      </c>
    </row>
    <row r="68" ht="16.5" customHeight="1">
      <c r="A68" s="92" t="s">
        <v>470</v>
      </c>
      <c r="B68" s="30" t="s">
        <v>199</v>
      </c>
      <c r="C68" s="86">
        <v>5.0</v>
      </c>
      <c r="D68" s="87">
        <v>40.0</v>
      </c>
      <c r="E68" s="42" t="s">
        <v>172</v>
      </c>
      <c r="F68" s="14">
        <v>4.0</v>
      </c>
      <c r="G68" s="14">
        <v>17.0</v>
      </c>
      <c r="H68" s="11" t="s">
        <v>154</v>
      </c>
      <c r="I68" s="30" t="s">
        <v>193</v>
      </c>
      <c r="J68" s="42" t="s">
        <v>156</v>
      </c>
      <c r="K68" s="30" t="s">
        <v>227</v>
      </c>
      <c r="L68" s="42" t="s">
        <v>158</v>
      </c>
      <c r="M68" s="30">
        <v>1600.0</v>
      </c>
      <c r="N68" s="93" t="s">
        <v>471</v>
      </c>
      <c r="O68" s="94" t="s">
        <v>472</v>
      </c>
      <c r="P68" s="88" t="s">
        <v>473</v>
      </c>
      <c r="Q68" s="95">
        <v>3.0</v>
      </c>
    </row>
    <row r="69" ht="16.5" customHeight="1">
      <c r="A69" s="92" t="s">
        <v>474</v>
      </c>
      <c r="B69" s="30" t="s">
        <v>152</v>
      </c>
      <c r="C69" s="86">
        <v>5.0</v>
      </c>
      <c r="D69" s="87">
        <v>40.0</v>
      </c>
      <c r="E69" s="42" t="s">
        <v>165</v>
      </c>
      <c r="F69" s="14">
        <v>4.0</v>
      </c>
      <c r="G69" s="14">
        <v>22.0</v>
      </c>
      <c r="H69" s="11" t="s">
        <v>154</v>
      </c>
      <c r="I69" s="30" t="s">
        <v>155</v>
      </c>
      <c r="J69" s="42" t="s">
        <v>156</v>
      </c>
      <c r="K69" s="30" t="s">
        <v>157</v>
      </c>
      <c r="L69" s="42" t="s">
        <v>158</v>
      </c>
      <c r="M69" s="30">
        <v>600.0</v>
      </c>
      <c r="N69" s="93" t="s">
        <v>475</v>
      </c>
      <c r="O69" s="94" t="s">
        <v>476</v>
      </c>
      <c r="P69" s="94" t="s">
        <v>477</v>
      </c>
      <c r="Q69" s="95">
        <v>4.0</v>
      </c>
    </row>
    <row r="70" ht="16.5" customHeight="1">
      <c r="A70" s="92" t="s">
        <v>478</v>
      </c>
      <c r="B70" s="30" t="s">
        <v>164</v>
      </c>
      <c r="C70" s="86">
        <v>5.0</v>
      </c>
      <c r="D70" s="87">
        <v>40.0</v>
      </c>
      <c r="E70" s="30" t="s">
        <v>186</v>
      </c>
      <c r="F70" s="14">
        <v>4.0</v>
      </c>
      <c r="G70" s="14">
        <v>22.0</v>
      </c>
      <c r="H70" s="11" t="s">
        <v>154</v>
      </c>
      <c r="I70" s="30" t="s">
        <v>166</v>
      </c>
      <c r="J70" s="42" t="s">
        <v>156</v>
      </c>
      <c r="K70" s="30" t="s">
        <v>205</v>
      </c>
      <c r="L70" s="42" t="s">
        <v>158</v>
      </c>
      <c r="M70" s="30">
        <v>400.0</v>
      </c>
      <c r="N70" s="93" t="s">
        <v>479</v>
      </c>
      <c r="O70" s="94" t="s">
        <v>480</v>
      </c>
      <c r="P70" s="88"/>
      <c r="Q70" s="95">
        <v>4.0</v>
      </c>
    </row>
    <row r="71" ht="16.5" customHeight="1">
      <c r="D71" s="96"/>
    </row>
    <row r="72" ht="16.5" customHeight="1">
      <c r="D72" s="96"/>
    </row>
    <row r="73" ht="16.5" customHeight="1">
      <c r="D73" s="96"/>
    </row>
    <row r="74" ht="16.5" customHeight="1">
      <c r="D74" s="96"/>
    </row>
    <row r="75" ht="16.5" customHeight="1">
      <c r="D75" s="96"/>
    </row>
    <row r="76" ht="16.5" customHeight="1">
      <c r="D76" s="96"/>
    </row>
    <row r="77" ht="16.5" customHeight="1">
      <c r="D77" s="96"/>
    </row>
    <row r="78" ht="16.5" customHeight="1">
      <c r="D78" s="96"/>
    </row>
    <row r="79" ht="16.5" customHeight="1">
      <c r="D79" s="96"/>
    </row>
    <row r="80" ht="16.5" customHeight="1">
      <c r="D80" s="96"/>
    </row>
    <row r="81" ht="16.5" customHeight="1">
      <c r="D81" s="96"/>
    </row>
    <row r="82" ht="16.5" customHeight="1">
      <c r="D82" s="96"/>
    </row>
    <row r="83" ht="16.5" customHeight="1">
      <c r="D83" s="96"/>
    </row>
    <row r="84" ht="16.5" customHeight="1">
      <c r="D84" s="96"/>
    </row>
    <row r="85" ht="16.5" customHeight="1">
      <c r="D85" s="96"/>
    </row>
    <row r="86" ht="16.5" customHeight="1">
      <c r="D86" s="96"/>
    </row>
    <row r="87" ht="16.5" customHeight="1">
      <c r="D87" s="96"/>
    </row>
    <row r="88" ht="16.5" customHeight="1">
      <c r="D88" s="96"/>
    </row>
    <row r="89" ht="16.5" customHeight="1">
      <c r="D89" s="96"/>
    </row>
    <row r="90" ht="16.5" customHeight="1">
      <c r="D90" s="96"/>
    </row>
    <row r="91" ht="16.5" customHeight="1">
      <c r="D91" s="96"/>
    </row>
    <row r="92" ht="16.5" customHeight="1">
      <c r="D92" s="96"/>
    </row>
    <row r="93" ht="16.5" customHeight="1">
      <c r="D93" s="96"/>
    </row>
    <row r="94" ht="16.5" customHeight="1">
      <c r="D94" s="96"/>
    </row>
    <row r="95" ht="16.5" customHeight="1">
      <c r="D95" s="96"/>
    </row>
    <row r="96" ht="16.5" customHeight="1">
      <c r="D96" s="96"/>
    </row>
    <row r="97" ht="16.5" customHeight="1">
      <c r="D97" s="96"/>
    </row>
    <row r="98" ht="16.5" customHeight="1">
      <c r="D98" s="96"/>
    </row>
    <row r="99" ht="16.5" customHeight="1">
      <c r="D99" s="96"/>
    </row>
    <row r="100" ht="16.5" customHeight="1">
      <c r="D100" s="96"/>
    </row>
    <row r="101" ht="16.5" customHeight="1">
      <c r="D101" s="96"/>
    </row>
    <row r="102" ht="16.5" customHeight="1">
      <c r="D102" s="96"/>
    </row>
    <row r="103" ht="16.5" customHeight="1">
      <c r="D103" s="96"/>
    </row>
    <row r="104" ht="16.5" customHeight="1">
      <c r="D104" s="96"/>
    </row>
    <row r="105" ht="16.5" customHeight="1">
      <c r="D105" s="96"/>
    </row>
    <row r="106" ht="16.5" customHeight="1">
      <c r="D106" s="96"/>
    </row>
    <row r="107" ht="16.5" customHeight="1">
      <c r="D107" s="96"/>
    </row>
    <row r="108" ht="16.5" customHeight="1">
      <c r="D108" s="96"/>
    </row>
    <row r="109" ht="16.5" customHeight="1">
      <c r="D109" s="96"/>
    </row>
    <row r="110" ht="16.5" customHeight="1">
      <c r="D110" s="96"/>
    </row>
    <row r="111" ht="16.5" customHeight="1">
      <c r="D111" s="96"/>
    </row>
    <row r="112">
      <c r="D112" s="96"/>
    </row>
    <row r="113">
      <c r="D113" s="96"/>
    </row>
    <row r="114">
      <c r="D114" s="96"/>
    </row>
    <row r="115">
      <c r="D115" s="96"/>
    </row>
    <row r="116">
      <c r="D116" s="96"/>
    </row>
    <row r="117">
      <c r="D117" s="96"/>
    </row>
    <row r="118">
      <c r="D118" s="96"/>
    </row>
    <row r="119">
      <c r="D119" s="96"/>
    </row>
    <row r="120">
      <c r="D120" s="96"/>
    </row>
    <row r="121">
      <c r="D121" s="96"/>
    </row>
    <row r="122">
      <c r="D122" s="96"/>
    </row>
    <row r="123">
      <c r="D123" s="96"/>
    </row>
    <row r="124">
      <c r="D124" s="96"/>
    </row>
    <row r="125">
      <c r="D125" s="96"/>
    </row>
    <row r="126">
      <c r="D126" s="96"/>
    </row>
    <row r="127">
      <c r="D127" s="96"/>
    </row>
    <row r="128">
      <c r="D128" s="96"/>
    </row>
    <row r="129">
      <c r="D129" s="96"/>
    </row>
    <row r="130">
      <c r="D130" s="96"/>
    </row>
    <row r="131">
      <c r="D131" s="96"/>
    </row>
    <row r="132">
      <c r="D132" s="96"/>
    </row>
    <row r="133">
      <c r="D133" s="96"/>
    </row>
    <row r="134">
      <c r="D134" s="96"/>
    </row>
    <row r="135">
      <c r="D135" s="96"/>
    </row>
    <row r="136">
      <c r="D136" s="96"/>
    </row>
    <row r="137">
      <c r="D137" s="96"/>
    </row>
    <row r="138">
      <c r="D138" s="96"/>
    </row>
    <row r="139">
      <c r="D139" s="96"/>
    </row>
    <row r="140">
      <c r="D140" s="96"/>
    </row>
    <row r="141">
      <c r="D141" s="96"/>
    </row>
    <row r="142">
      <c r="D142" s="96"/>
    </row>
    <row r="143">
      <c r="D143" s="96"/>
    </row>
    <row r="144">
      <c r="D144" s="96"/>
    </row>
    <row r="145">
      <c r="D145" s="96"/>
    </row>
    <row r="146">
      <c r="D146" s="96"/>
    </row>
    <row r="147">
      <c r="D147" s="96"/>
    </row>
    <row r="148">
      <c r="D148" s="96"/>
    </row>
    <row r="149">
      <c r="D149" s="96"/>
    </row>
    <row r="150">
      <c r="D150" s="96"/>
    </row>
    <row r="151">
      <c r="D151" s="96"/>
    </row>
    <row r="152">
      <c r="D152" s="96"/>
    </row>
    <row r="153">
      <c r="D153" s="96"/>
    </row>
    <row r="154">
      <c r="D154" s="96"/>
    </row>
    <row r="155">
      <c r="D155" s="96"/>
    </row>
    <row r="156">
      <c r="D156" s="96"/>
    </row>
    <row r="157">
      <c r="D157" s="96"/>
    </row>
    <row r="158">
      <c r="D158" s="96"/>
    </row>
    <row r="159">
      <c r="D159" s="96"/>
    </row>
    <row r="160">
      <c r="D160" s="96"/>
    </row>
    <row r="161">
      <c r="D161" s="96"/>
    </row>
    <row r="162">
      <c r="D162" s="96"/>
    </row>
    <row r="163">
      <c r="D163" s="96"/>
    </row>
    <row r="164">
      <c r="D164" s="96"/>
    </row>
    <row r="165">
      <c r="D165" s="96"/>
    </row>
    <row r="166">
      <c r="D166" s="96"/>
    </row>
    <row r="167">
      <c r="D167" s="96"/>
    </row>
    <row r="168">
      <c r="D168" s="96"/>
    </row>
    <row r="169">
      <c r="D169" s="96"/>
    </row>
    <row r="170">
      <c r="D170" s="96"/>
    </row>
    <row r="171">
      <c r="D171" s="96"/>
    </row>
    <row r="172">
      <c r="D172" s="96"/>
    </row>
    <row r="173">
      <c r="D173" s="96"/>
    </row>
    <row r="174">
      <c r="D174" s="96"/>
    </row>
    <row r="175">
      <c r="D175" s="96"/>
    </row>
    <row r="176">
      <c r="D176" s="96"/>
    </row>
    <row r="177">
      <c r="D177" s="96"/>
    </row>
    <row r="178">
      <c r="D178" s="96"/>
    </row>
    <row r="179">
      <c r="D179" s="96"/>
    </row>
    <row r="180">
      <c r="D180" s="96"/>
    </row>
    <row r="181">
      <c r="D181" s="96"/>
    </row>
    <row r="182">
      <c r="D182" s="96"/>
    </row>
    <row r="183">
      <c r="D183" s="96"/>
    </row>
    <row r="184">
      <c r="D184" s="96"/>
    </row>
    <row r="185">
      <c r="D185" s="96"/>
    </row>
    <row r="186">
      <c r="D186" s="96"/>
    </row>
    <row r="187">
      <c r="D187" s="96"/>
    </row>
    <row r="188">
      <c r="D188" s="96"/>
    </row>
    <row r="189">
      <c r="D189" s="96"/>
    </row>
    <row r="190">
      <c r="D190" s="96"/>
    </row>
    <row r="191">
      <c r="D191" s="96"/>
    </row>
    <row r="192">
      <c r="D192" s="96"/>
    </row>
    <row r="193">
      <c r="D193" s="96"/>
    </row>
    <row r="194">
      <c r="D194" s="96"/>
    </row>
    <row r="195">
      <c r="D195" s="96"/>
    </row>
    <row r="196">
      <c r="D196" s="96"/>
    </row>
    <row r="197">
      <c r="D197" s="96"/>
    </row>
    <row r="198">
      <c r="D198" s="96"/>
    </row>
    <row r="199">
      <c r="D199" s="96"/>
    </row>
    <row r="200">
      <c r="D200" s="96"/>
    </row>
    <row r="201">
      <c r="D201" s="96"/>
    </row>
    <row r="202">
      <c r="D202" s="96"/>
    </row>
    <row r="203">
      <c r="D203" s="96"/>
    </row>
    <row r="204">
      <c r="D204" s="96"/>
    </row>
    <row r="205">
      <c r="D205" s="96"/>
    </row>
    <row r="206">
      <c r="D206" s="96"/>
    </row>
    <row r="207">
      <c r="D207" s="96"/>
    </row>
    <row r="208">
      <c r="D208" s="96"/>
    </row>
    <row r="209">
      <c r="D209" s="96"/>
    </row>
    <row r="210">
      <c r="D210" s="96"/>
    </row>
    <row r="211">
      <c r="D211" s="96"/>
    </row>
    <row r="212">
      <c r="D212" s="96"/>
    </row>
    <row r="213">
      <c r="D213" s="96"/>
    </row>
    <row r="214">
      <c r="D214" s="96"/>
    </row>
    <row r="215">
      <c r="D215" s="96"/>
    </row>
    <row r="216">
      <c r="D216" s="96"/>
    </row>
    <row r="217">
      <c r="D217" s="96"/>
    </row>
    <row r="218">
      <c r="D218" s="96"/>
    </row>
    <row r="219">
      <c r="D219" s="96"/>
    </row>
    <row r="220">
      <c r="D220" s="96"/>
    </row>
    <row r="221">
      <c r="D221" s="96"/>
    </row>
    <row r="222">
      <c r="D222" s="96"/>
    </row>
    <row r="223">
      <c r="D223" s="96"/>
    </row>
    <row r="224">
      <c r="D224" s="96"/>
    </row>
    <row r="225">
      <c r="D225" s="96"/>
    </row>
    <row r="226">
      <c r="D226" s="96"/>
    </row>
    <row r="227">
      <c r="D227" s="96"/>
    </row>
    <row r="228">
      <c r="D228" s="96"/>
    </row>
    <row r="229">
      <c r="D229" s="96"/>
    </row>
    <row r="230">
      <c r="D230" s="96"/>
    </row>
    <row r="231">
      <c r="D231" s="96"/>
    </row>
    <row r="232">
      <c r="D232" s="96"/>
    </row>
    <row r="233">
      <c r="D233" s="96"/>
    </row>
    <row r="234">
      <c r="D234" s="96"/>
    </row>
    <row r="235">
      <c r="D235" s="96"/>
    </row>
    <row r="236">
      <c r="D236" s="96"/>
    </row>
    <row r="237">
      <c r="D237" s="96"/>
    </row>
    <row r="238">
      <c r="D238" s="96"/>
    </row>
    <row r="239">
      <c r="D239" s="96"/>
    </row>
    <row r="240">
      <c r="D240" s="96"/>
    </row>
    <row r="241">
      <c r="D241" s="96"/>
    </row>
    <row r="242">
      <c r="D242" s="96"/>
    </row>
    <row r="243">
      <c r="D243" s="96"/>
    </row>
    <row r="244">
      <c r="D244" s="96"/>
    </row>
    <row r="245">
      <c r="D245" s="96"/>
    </row>
    <row r="246">
      <c r="D246" s="96"/>
    </row>
    <row r="247">
      <c r="D247" s="96"/>
    </row>
    <row r="248">
      <c r="D248" s="96"/>
    </row>
    <row r="249">
      <c r="D249" s="96"/>
    </row>
    <row r="250">
      <c r="D250" s="96"/>
    </row>
    <row r="251">
      <c r="D251" s="96"/>
    </row>
    <row r="252">
      <c r="D252" s="96"/>
    </row>
    <row r="253">
      <c r="D253" s="96"/>
    </row>
    <row r="254">
      <c r="D254" s="96"/>
    </row>
    <row r="255">
      <c r="D255" s="96"/>
    </row>
    <row r="256">
      <c r="D256" s="96"/>
    </row>
    <row r="257">
      <c r="D257" s="96"/>
    </row>
    <row r="258">
      <c r="D258" s="96"/>
    </row>
    <row r="259">
      <c r="D259" s="96"/>
    </row>
    <row r="260">
      <c r="D260" s="96"/>
    </row>
    <row r="261">
      <c r="D261" s="96"/>
    </row>
    <row r="262">
      <c r="D262" s="96"/>
    </row>
    <row r="263">
      <c r="D263" s="96"/>
    </row>
    <row r="264">
      <c r="D264" s="96"/>
    </row>
    <row r="265">
      <c r="D265" s="96"/>
    </row>
    <row r="266">
      <c r="D266" s="96"/>
    </row>
    <row r="267">
      <c r="D267" s="96"/>
    </row>
    <row r="268">
      <c r="D268" s="96"/>
    </row>
    <row r="269">
      <c r="D269" s="96"/>
    </row>
    <row r="270">
      <c r="D270" s="96"/>
    </row>
    <row r="271">
      <c r="D271" s="96"/>
    </row>
    <row r="272">
      <c r="D272" s="96"/>
    </row>
    <row r="273">
      <c r="D273" s="96"/>
    </row>
    <row r="274">
      <c r="D274" s="96"/>
    </row>
    <row r="275">
      <c r="D275" s="96"/>
    </row>
    <row r="276">
      <c r="D276" s="96"/>
    </row>
    <row r="277">
      <c r="D277" s="96"/>
    </row>
    <row r="278">
      <c r="D278" s="96"/>
    </row>
    <row r="279">
      <c r="D279" s="96"/>
    </row>
    <row r="280">
      <c r="D280" s="96"/>
    </row>
    <row r="281">
      <c r="D281" s="96"/>
    </row>
    <row r="282">
      <c r="D282" s="96"/>
    </row>
    <row r="283">
      <c r="D283" s="96"/>
    </row>
    <row r="284">
      <c r="D284" s="96"/>
    </row>
    <row r="285">
      <c r="D285" s="96"/>
    </row>
    <row r="286">
      <c r="D286" s="96"/>
    </row>
    <row r="287">
      <c r="D287" s="96"/>
    </row>
    <row r="288">
      <c r="D288" s="96"/>
    </row>
    <row r="289">
      <c r="D289" s="96"/>
    </row>
    <row r="290">
      <c r="D290" s="96"/>
    </row>
    <row r="291">
      <c r="D291" s="96"/>
    </row>
    <row r="292">
      <c r="D292" s="96"/>
    </row>
    <row r="293">
      <c r="D293" s="96"/>
    </row>
    <row r="294">
      <c r="D294" s="96"/>
    </row>
    <row r="295">
      <c r="D295" s="96"/>
    </row>
    <row r="296">
      <c r="D296" s="96"/>
    </row>
    <row r="297">
      <c r="D297" s="96"/>
    </row>
    <row r="298">
      <c r="D298" s="96"/>
    </row>
    <row r="299">
      <c r="D299" s="96"/>
    </row>
    <row r="300">
      <c r="D300" s="96"/>
    </row>
    <row r="301">
      <c r="D301" s="96"/>
    </row>
    <row r="302">
      <c r="D302" s="96"/>
    </row>
    <row r="303">
      <c r="D303" s="96"/>
    </row>
    <row r="304">
      <c r="D304" s="96"/>
    </row>
    <row r="305">
      <c r="D305" s="96"/>
    </row>
    <row r="306">
      <c r="D306" s="96"/>
    </row>
    <row r="307">
      <c r="D307" s="96"/>
    </row>
    <row r="308">
      <c r="D308" s="96"/>
    </row>
    <row r="309">
      <c r="D309" s="96"/>
    </row>
    <row r="310">
      <c r="D310" s="96"/>
    </row>
    <row r="311">
      <c r="D311" s="96"/>
    </row>
    <row r="312">
      <c r="D312" s="96"/>
    </row>
    <row r="313">
      <c r="D313" s="96"/>
    </row>
    <row r="314">
      <c r="D314" s="96"/>
    </row>
    <row r="315">
      <c r="D315" s="96"/>
    </row>
    <row r="316">
      <c r="D316" s="96"/>
    </row>
    <row r="317">
      <c r="D317" s="96"/>
    </row>
    <row r="318">
      <c r="D318" s="96"/>
    </row>
    <row r="319">
      <c r="D319" s="96"/>
    </row>
    <row r="320">
      <c r="D320" s="96"/>
    </row>
    <row r="321">
      <c r="D321" s="96"/>
    </row>
    <row r="322">
      <c r="D322" s="96"/>
    </row>
    <row r="323">
      <c r="D323" s="96"/>
    </row>
    <row r="324">
      <c r="D324" s="96"/>
    </row>
    <row r="325">
      <c r="D325" s="96"/>
    </row>
    <row r="326">
      <c r="D326" s="96"/>
    </row>
    <row r="327">
      <c r="D327" s="96"/>
    </row>
    <row r="328">
      <c r="D328" s="96"/>
    </row>
    <row r="329">
      <c r="D329" s="96"/>
    </row>
    <row r="330">
      <c r="D330" s="96"/>
    </row>
    <row r="331">
      <c r="D331" s="96"/>
    </row>
    <row r="332">
      <c r="D332" s="96"/>
    </row>
    <row r="333">
      <c r="D333" s="96"/>
    </row>
    <row r="334">
      <c r="D334" s="96"/>
    </row>
    <row r="335">
      <c r="D335" s="96"/>
    </row>
    <row r="336">
      <c r="D336" s="96"/>
    </row>
    <row r="337">
      <c r="D337" s="96"/>
    </row>
    <row r="338">
      <c r="D338" s="96"/>
    </row>
    <row r="339">
      <c r="D339" s="96"/>
    </row>
    <row r="340">
      <c r="D340" s="96"/>
    </row>
    <row r="341">
      <c r="D341" s="96"/>
    </row>
    <row r="342">
      <c r="D342" s="96"/>
    </row>
    <row r="343">
      <c r="D343" s="96"/>
    </row>
    <row r="344">
      <c r="D344" s="96"/>
    </row>
    <row r="345">
      <c r="D345" s="96"/>
    </row>
    <row r="346">
      <c r="D346" s="96"/>
    </row>
    <row r="347">
      <c r="D347" s="96"/>
    </row>
    <row r="348">
      <c r="D348" s="96"/>
    </row>
    <row r="349">
      <c r="D349" s="96"/>
    </row>
    <row r="350">
      <c r="D350" s="96"/>
    </row>
    <row r="351">
      <c r="D351" s="96"/>
    </row>
    <row r="352">
      <c r="D352" s="96"/>
    </row>
    <row r="353">
      <c r="D353" s="96"/>
    </row>
    <row r="354">
      <c r="D354" s="96"/>
    </row>
    <row r="355">
      <c r="D355" s="96"/>
    </row>
    <row r="356">
      <c r="D356" s="96"/>
    </row>
    <row r="357">
      <c r="D357" s="96"/>
    </row>
    <row r="358">
      <c r="D358" s="96"/>
    </row>
    <row r="359">
      <c r="D359" s="96"/>
    </row>
    <row r="360">
      <c r="D360" s="96"/>
    </row>
    <row r="361">
      <c r="D361" s="96"/>
    </row>
    <row r="362">
      <c r="D362" s="96"/>
    </row>
    <row r="363">
      <c r="D363" s="96"/>
    </row>
    <row r="364">
      <c r="D364" s="96"/>
    </row>
    <row r="365">
      <c r="D365" s="96"/>
    </row>
    <row r="366">
      <c r="D366" s="96"/>
    </row>
    <row r="367">
      <c r="D367" s="96"/>
    </row>
    <row r="368">
      <c r="D368" s="96"/>
    </row>
    <row r="369">
      <c r="D369" s="96"/>
    </row>
    <row r="370">
      <c r="D370" s="96"/>
    </row>
    <row r="371">
      <c r="D371" s="96"/>
    </row>
    <row r="372">
      <c r="D372" s="96"/>
    </row>
    <row r="373">
      <c r="D373" s="96"/>
    </row>
    <row r="374">
      <c r="D374" s="96"/>
    </row>
    <row r="375">
      <c r="D375" s="96"/>
    </row>
    <row r="376">
      <c r="D376" s="96"/>
    </row>
    <row r="377">
      <c r="D377" s="96"/>
    </row>
    <row r="378">
      <c r="D378" s="96"/>
    </row>
    <row r="379">
      <c r="D379" s="96"/>
    </row>
    <row r="380">
      <c r="D380" s="96"/>
    </row>
    <row r="381">
      <c r="D381" s="96"/>
    </row>
    <row r="382">
      <c r="D382" s="96"/>
    </row>
    <row r="383">
      <c r="D383" s="96"/>
    </row>
    <row r="384">
      <c r="D384" s="96"/>
    </row>
    <row r="385">
      <c r="D385" s="96"/>
    </row>
    <row r="386">
      <c r="D386" s="96"/>
    </row>
    <row r="387">
      <c r="D387" s="96"/>
    </row>
    <row r="388">
      <c r="D388" s="96"/>
    </row>
    <row r="389">
      <c r="D389" s="96"/>
    </row>
    <row r="390">
      <c r="D390" s="96"/>
    </row>
    <row r="391">
      <c r="D391" s="96"/>
    </row>
    <row r="392">
      <c r="D392" s="96"/>
    </row>
    <row r="393">
      <c r="D393" s="96"/>
    </row>
    <row r="394">
      <c r="D394" s="96"/>
    </row>
    <row r="395">
      <c r="D395" s="96"/>
    </row>
    <row r="396">
      <c r="D396" s="96"/>
    </row>
    <row r="397">
      <c r="D397" s="96"/>
    </row>
    <row r="398">
      <c r="D398" s="96"/>
    </row>
    <row r="399">
      <c r="D399" s="96"/>
    </row>
    <row r="400">
      <c r="D400" s="96"/>
    </row>
    <row r="401">
      <c r="D401" s="96"/>
    </row>
    <row r="402">
      <c r="D402" s="96"/>
    </row>
    <row r="403">
      <c r="D403" s="96"/>
    </row>
    <row r="404">
      <c r="D404" s="96"/>
    </row>
    <row r="405">
      <c r="D405" s="96"/>
    </row>
    <row r="406">
      <c r="D406" s="96"/>
    </row>
    <row r="407">
      <c r="D407" s="96"/>
    </row>
    <row r="408">
      <c r="D408" s="96"/>
    </row>
    <row r="409">
      <c r="D409" s="96"/>
    </row>
    <row r="410">
      <c r="D410" s="96"/>
    </row>
    <row r="411">
      <c r="D411" s="96"/>
    </row>
    <row r="412">
      <c r="D412" s="96"/>
    </row>
    <row r="413">
      <c r="D413" s="96"/>
    </row>
    <row r="414">
      <c r="D414" s="96"/>
    </row>
    <row r="415">
      <c r="D415" s="96"/>
    </row>
    <row r="416">
      <c r="D416" s="96"/>
    </row>
    <row r="417">
      <c r="D417" s="96"/>
    </row>
    <row r="418">
      <c r="D418" s="96"/>
    </row>
    <row r="419">
      <c r="D419" s="96"/>
    </row>
    <row r="420">
      <c r="D420" s="96"/>
    </row>
    <row r="421">
      <c r="D421" s="96"/>
    </row>
    <row r="422">
      <c r="D422" s="96"/>
    </row>
    <row r="423">
      <c r="D423" s="96"/>
    </row>
    <row r="424">
      <c r="D424" s="96"/>
    </row>
    <row r="425">
      <c r="D425" s="96"/>
    </row>
    <row r="426">
      <c r="D426" s="96"/>
    </row>
    <row r="427">
      <c r="D427" s="96"/>
    </row>
    <row r="428">
      <c r="D428" s="96"/>
    </row>
    <row r="429">
      <c r="D429" s="96"/>
    </row>
    <row r="430">
      <c r="D430" s="96"/>
    </row>
    <row r="431">
      <c r="D431" s="96"/>
    </row>
    <row r="432">
      <c r="D432" s="96"/>
    </row>
    <row r="433">
      <c r="D433" s="96"/>
    </row>
    <row r="434">
      <c r="D434" s="96"/>
    </row>
    <row r="435">
      <c r="D435" s="96"/>
    </row>
    <row r="436">
      <c r="D436" s="96"/>
    </row>
    <row r="437">
      <c r="D437" s="96"/>
    </row>
    <row r="438">
      <c r="D438" s="96"/>
    </row>
    <row r="439">
      <c r="D439" s="96"/>
    </row>
    <row r="440">
      <c r="D440" s="96"/>
    </row>
    <row r="441">
      <c r="D441" s="96"/>
    </row>
    <row r="442">
      <c r="D442" s="96"/>
    </row>
    <row r="443">
      <c r="D443" s="96"/>
    </row>
    <row r="444">
      <c r="D444" s="96"/>
    </row>
    <row r="445">
      <c r="D445" s="96"/>
    </row>
    <row r="446">
      <c r="D446" s="96"/>
    </row>
    <row r="447">
      <c r="D447" s="96"/>
    </row>
    <row r="448">
      <c r="D448" s="96"/>
    </row>
    <row r="449">
      <c r="D449" s="96"/>
    </row>
    <row r="450">
      <c r="D450" s="96"/>
    </row>
    <row r="451">
      <c r="D451" s="96"/>
    </row>
    <row r="452">
      <c r="D452" s="96"/>
    </row>
    <row r="453">
      <c r="D453" s="96"/>
    </row>
    <row r="454">
      <c r="D454" s="96"/>
    </row>
    <row r="455">
      <c r="D455" s="96"/>
    </row>
    <row r="456">
      <c r="D456" s="96"/>
    </row>
    <row r="457">
      <c r="D457" s="96"/>
    </row>
    <row r="458">
      <c r="D458" s="96"/>
    </row>
    <row r="459">
      <c r="D459" s="96"/>
    </row>
    <row r="460">
      <c r="D460" s="96"/>
    </row>
    <row r="461">
      <c r="D461" s="96"/>
    </row>
    <row r="462">
      <c r="D462" s="96"/>
    </row>
    <row r="463">
      <c r="D463" s="96"/>
    </row>
    <row r="464">
      <c r="D464" s="96"/>
    </row>
    <row r="465">
      <c r="D465" s="96"/>
    </row>
    <row r="466">
      <c r="D466" s="96"/>
    </row>
    <row r="467">
      <c r="D467" s="96"/>
    </row>
    <row r="468">
      <c r="D468" s="96"/>
    </row>
    <row r="469">
      <c r="D469" s="96"/>
    </row>
    <row r="470">
      <c r="D470" s="96"/>
    </row>
    <row r="471">
      <c r="D471" s="96"/>
    </row>
    <row r="472">
      <c r="D472" s="96"/>
    </row>
    <row r="473">
      <c r="D473" s="96"/>
    </row>
    <row r="474">
      <c r="D474" s="96"/>
    </row>
    <row r="475">
      <c r="D475" s="96"/>
    </row>
    <row r="476">
      <c r="D476" s="96"/>
    </row>
    <row r="477">
      <c r="D477" s="96"/>
    </row>
    <row r="478">
      <c r="D478" s="96"/>
    </row>
    <row r="479">
      <c r="D479" s="96"/>
    </row>
    <row r="480">
      <c r="D480" s="96"/>
    </row>
    <row r="481">
      <c r="D481" s="96"/>
    </row>
    <row r="482">
      <c r="D482" s="96"/>
    </row>
    <row r="483">
      <c r="D483" s="96"/>
    </row>
    <row r="484">
      <c r="D484" s="96"/>
    </row>
    <row r="485">
      <c r="D485" s="96"/>
    </row>
    <row r="486">
      <c r="D486" s="96"/>
    </row>
    <row r="487">
      <c r="D487" s="96"/>
    </row>
    <row r="488">
      <c r="D488" s="96"/>
    </row>
    <row r="489">
      <c r="D489" s="96"/>
    </row>
    <row r="490">
      <c r="D490" s="96"/>
    </row>
    <row r="491">
      <c r="D491" s="96"/>
    </row>
    <row r="492">
      <c r="D492" s="96"/>
    </row>
    <row r="493">
      <c r="D493" s="96"/>
    </row>
    <row r="494">
      <c r="D494" s="96"/>
    </row>
    <row r="495">
      <c r="D495" s="96"/>
    </row>
    <row r="496">
      <c r="D496" s="96"/>
    </row>
    <row r="497">
      <c r="D497" s="96"/>
    </row>
    <row r="498">
      <c r="D498" s="96"/>
    </row>
    <row r="499">
      <c r="D499" s="96"/>
    </row>
    <row r="500">
      <c r="D500" s="96"/>
    </row>
    <row r="501">
      <c r="D501" s="96"/>
    </row>
    <row r="502">
      <c r="D502" s="96"/>
    </row>
    <row r="503">
      <c r="D503" s="96"/>
    </row>
    <row r="504">
      <c r="D504" s="96"/>
    </row>
    <row r="505">
      <c r="D505" s="96"/>
    </row>
    <row r="506">
      <c r="D506" s="96"/>
    </row>
    <row r="507">
      <c r="D507" s="96"/>
    </row>
    <row r="508">
      <c r="D508" s="96"/>
    </row>
    <row r="509">
      <c r="D509" s="96"/>
    </row>
    <row r="510">
      <c r="D510" s="96"/>
    </row>
    <row r="511">
      <c r="D511" s="96"/>
    </row>
    <row r="512">
      <c r="D512" s="96"/>
    </row>
    <row r="513">
      <c r="D513" s="96"/>
    </row>
    <row r="514">
      <c r="D514" s="96"/>
    </row>
    <row r="515">
      <c r="D515" s="96"/>
    </row>
    <row r="516">
      <c r="D516" s="96"/>
    </row>
    <row r="517">
      <c r="D517" s="96"/>
    </row>
    <row r="518">
      <c r="D518" s="96"/>
    </row>
    <row r="519">
      <c r="D519" s="96"/>
    </row>
    <row r="520">
      <c r="D520" s="96"/>
    </row>
    <row r="521">
      <c r="D521" s="96"/>
    </row>
    <row r="522">
      <c r="D522" s="96"/>
    </row>
    <row r="523">
      <c r="D523" s="96"/>
    </row>
    <row r="524">
      <c r="D524" s="96"/>
    </row>
    <row r="525">
      <c r="D525" s="96"/>
    </row>
    <row r="526">
      <c r="D526" s="96"/>
    </row>
    <row r="527">
      <c r="D527" s="96"/>
    </row>
    <row r="528">
      <c r="D528" s="96"/>
    </row>
    <row r="529">
      <c r="D529" s="96"/>
    </row>
    <row r="530">
      <c r="D530" s="96"/>
    </row>
    <row r="531">
      <c r="D531" s="96"/>
    </row>
    <row r="532">
      <c r="D532" s="96"/>
    </row>
    <row r="533">
      <c r="D533" s="96"/>
    </row>
    <row r="534">
      <c r="D534" s="96"/>
    </row>
    <row r="535">
      <c r="D535" s="96"/>
    </row>
    <row r="536">
      <c r="D536" s="96"/>
    </row>
    <row r="537">
      <c r="D537" s="96"/>
    </row>
    <row r="538">
      <c r="D538" s="96"/>
    </row>
    <row r="539">
      <c r="D539" s="96"/>
    </row>
    <row r="540">
      <c r="D540" s="96"/>
    </row>
    <row r="541">
      <c r="D541" s="96"/>
    </row>
    <row r="542">
      <c r="D542" s="96"/>
    </row>
    <row r="543">
      <c r="D543" s="96"/>
    </row>
    <row r="544">
      <c r="D544" s="96"/>
    </row>
    <row r="545">
      <c r="D545" s="96"/>
    </row>
    <row r="546">
      <c r="D546" s="96"/>
    </row>
    <row r="547">
      <c r="D547" s="96"/>
    </row>
    <row r="548">
      <c r="D548" s="96"/>
    </row>
    <row r="549">
      <c r="D549" s="96"/>
    </row>
    <row r="550">
      <c r="D550" s="96"/>
    </row>
    <row r="551">
      <c r="D551" s="96"/>
    </row>
    <row r="552">
      <c r="D552" s="96"/>
    </row>
    <row r="553">
      <c r="D553" s="96"/>
    </row>
    <row r="554">
      <c r="D554" s="96"/>
    </row>
    <row r="555">
      <c r="D555" s="96"/>
    </row>
    <row r="556">
      <c r="D556" s="96"/>
    </row>
    <row r="557">
      <c r="D557" s="96"/>
    </row>
    <row r="558">
      <c r="D558" s="96"/>
    </row>
    <row r="559">
      <c r="D559" s="96"/>
    </row>
    <row r="560">
      <c r="D560" s="96"/>
    </row>
    <row r="561">
      <c r="D561" s="96"/>
    </row>
    <row r="562">
      <c r="D562" s="96"/>
    </row>
    <row r="563">
      <c r="D563" s="96"/>
    </row>
    <row r="564">
      <c r="D564" s="96"/>
    </row>
    <row r="565">
      <c r="D565" s="96"/>
    </row>
    <row r="566">
      <c r="D566" s="96"/>
    </row>
    <row r="567">
      <c r="D567" s="96"/>
    </row>
    <row r="568">
      <c r="D568" s="96"/>
    </row>
    <row r="569">
      <c r="D569" s="96"/>
    </row>
    <row r="570">
      <c r="D570" s="96"/>
    </row>
    <row r="571">
      <c r="D571" s="96"/>
    </row>
    <row r="572">
      <c r="D572" s="96"/>
    </row>
    <row r="573">
      <c r="D573" s="96"/>
    </row>
    <row r="574">
      <c r="D574" s="96"/>
    </row>
    <row r="575">
      <c r="D575" s="96"/>
    </row>
    <row r="576">
      <c r="D576" s="96"/>
    </row>
    <row r="577">
      <c r="D577" s="96"/>
    </row>
    <row r="578">
      <c r="D578" s="96"/>
    </row>
    <row r="579">
      <c r="D579" s="96"/>
    </row>
    <row r="580">
      <c r="D580" s="96"/>
    </row>
    <row r="581">
      <c r="D581" s="96"/>
    </row>
    <row r="582">
      <c r="D582" s="96"/>
    </row>
    <row r="583">
      <c r="D583" s="96"/>
    </row>
    <row r="584">
      <c r="D584" s="96"/>
    </row>
    <row r="585">
      <c r="D585" s="96"/>
    </row>
    <row r="586">
      <c r="D586" s="96"/>
    </row>
    <row r="587">
      <c r="D587" s="96"/>
    </row>
    <row r="588">
      <c r="D588" s="96"/>
    </row>
    <row r="589">
      <c r="D589" s="96"/>
    </row>
    <row r="590">
      <c r="D590" s="96"/>
    </row>
    <row r="591">
      <c r="D591" s="96"/>
    </row>
    <row r="592">
      <c r="D592" s="96"/>
    </row>
    <row r="593">
      <c r="D593" s="96"/>
    </row>
    <row r="594">
      <c r="D594" s="96"/>
    </row>
    <row r="595">
      <c r="D595" s="96"/>
    </row>
    <row r="596">
      <c r="D596" s="96"/>
    </row>
    <row r="597">
      <c r="D597" s="96"/>
    </row>
    <row r="598">
      <c r="D598" s="96"/>
    </row>
    <row r="599">
      <c r="D599" s="96"/>
    </row>
    <row r="600">
      <c r="D600" s="96"/>
    </row>
    <row r="601">
      <c r="D601" s="96"/>
    </row>
    <row r="602">
      <c r="D602" s="96"/>
    </row>
    <row r="603">
      <c r="D603" s="96"/>
    </row>
    <row r="604">
      <c r="D604" s="96"/>
    </row>
    <row r="605">
      <c r="D605" s="96"/>
    </row>
    <row r="606">
      <c r="D606" s="96"/>
    </row>
    <row r="607">
      <c r="D607" s="96"/>
    </row>
    <row r="608">
      <c r="D608" s="96"/>
    </row>
    <row r="609">
      <c r="D609" s="96"/>
    </row>
    <row r="610">
      <c r="D610" s="96"/>
    </row>
    <row r="611">
      <c r="D611" s="96"/>
    </row>
    <row r="612">
      <c r="D612" s="96"/>
    </row>
    <row r="613">
      <c r="D613" s="96"/>
    </row>
    <row r="614">
      <c r="D614" s="96"/>
    </row>
    <row r="615">
      <c r="D615" s="96"/>
    </row>
    <row r="616">
      <c r="D616" s="96"/>
    </row>
    <row r="617">
      <c r="D617" s="96"/>
    </row>
    <row r="618">
      <c r="D618" s="96"/>
    </row>
    <row r="619">
      <c r="D619" s="96"/>
    </row>
    <row r="620">
      <c r="D620" s="96"/>
    </row>
    <row r="621">
      <c r="D621" s="96"/>
    </row>
    <row r="622">
      <c r="D622" s="96"/>
    </row>
    <row r="623">
      <c r="D623" s="96"/>
    </row>
    <row r="624">
      <c r="D624" s="96"/>
    </row>
    <row r="625">
      <c r="D625" s="96"/>
    </row>
    <row r="626">
      <c r="D626" s="96"/>
    </row>
    <row r="627">
      <c r="D627" s="96"/>
    </row>
    <row r="628">
      <c r="D628" s="96"/>
    </row>
    <row r="629">
      <c r="D629" s="96"/>
    </row>
    <row r="630">
      <c r="D630" s="96"/>
    </row>
    <row r="631">
      <c r="D631" s="96"/>
    </row>
    <row r="632">
      <c r="D632" s="96"/>
    </row>
    <row r="633">
      <c r="D633" s="96"/>
    </row>
    <row r="634">
      <c r="D634" s="96"/>
    </row>
    <row r="635">
      <c r="D635" s="96"/>
    </row>
    <row r="636">
      <c r="D636" s="96"/>
    </row>
    <row r="637">
      <c r="D637" s="96"/>
    </row>
    <row r="638">
      <c r="D638" s="96"/>
    </row>
    <row r="639">
      <c r="D639" s="96"/>
    </row>
    <row r="640">
      <c r="D640" s="96"/>
    </row>
    <row r="641">
      <c r="D641" s="96"/>
    </row>
    <row r="642">
      <c r="D642" s="96"/>
    </row>
    <row r="643">
      <c r="D643" s="96"/>
    </row>
    <row r="644">
      <c r="D644" s="96"/>
    </row>
    <row r="645">
      <c r="D645" s="96"/>
    </row>
    <row r="646">
      <c r="D646" s="96"/>
    </row>
    <row r="647">
      <c r="D647" s="96"/>
    </row>
    <row r="648">
      <c r="D648" s="96"/>
    </row>
    <row r="649">
      <c r="D649" s="96"/>
    </row>
    <row r="650">
      <c r="D650" s="96"/>
    </row>
    <row r="651">
      <c r="D651" s="96"/>
    </row>
    <row r="652">
      <c r="D652" s="96"/>
    </row>
    <row r="653">
      <c r="D653" s="96"/>
    </row>
    <row r="654">
      <c r="D654" s="96"/>
    </row>
    <row r="655">
      <c r="D655" s="96"/>
    </row>
    <row r="656">
      <c r="D656" s="96"/>
    </row>
    <row r="657">
      <c r="D657" s="96"/>
    </row>
    <row r="658">
      <c r="D658" s="96"/>
    </row>
    <row r="659">
      <c r="D659" s="96"/>
    </row>
    <row r="660">
      <c r="D660" s="96"/>
    </row>
    <row r="661">
      <c r="D661" s="96"/>
    </row>
    <row r="662">
      <c r="D662" s="96"/>
    </row>
    <row r="663">
      <c r="D663" s="96"/>
    </row>
    <row r="664">
      <c r="D664" s="96"/>
    </row>
    <row r="665">
      <c r="D665" s="96"/>
    </row>
    <row r="666">
      <c r="D666" s="96"/>
    </row>
    <row r="667">
      <c r="D667" s="96"/>
    </row>
    <row r="668">
      <c r="D668" s="96"/>
    </row>
    <row r="669">
      <c r="D669" s="96"/>
    </row>
    <row r="670">
      <c r="D670" s="96"/>
    </row>
    <row r="671">
      <c r="D671" s="96"/>
    </row>
    <row r="672">
      <c r="D672" s="96"/>
    </row>
    <row r="673">
      <c r="D673" s="96"/>
    </row>
    <row r="674">
      <c r="D674" s="96"/>
    </row>
    <row r="675">
      <c r="D675" s="96"/>
    </row>
    <row r="676">
      <c r="D676" s="96"/>
    </row>
    <row r="677">
      <c r="D677" s="96"/>
    </row>
    <row r="678">
      <c r="D678" s="96"/>
    </row>
    <row r="679">
      <c r="D679" s="96"/>
    </row>
    <row r="680">
      <c r="D680" s="96"/>
    </row>
    <row r="681">
      <c r="D681" s="96"/>
    </row>
    <row r="682">
      <c r="D682" s="96"/>
    </row>
    <row r="683">
      <c r="D683" s="96"/>
    </row>
    <row r="684">
      <c r="D684" s="96"/>
    </row>
    <row r="685">
      <c r="D685" s="96"/>
    </row>
    <row r="686">
      <c r="D686" s="96"/>
    </row>
    <row r="687">
      <c r="D687" s="96"/>
    </row>
    <row r="688">
      <c r="D688" s="96"/>
    </row>
    <row r="689">
      <c r="D689" s="96"/>
    </row>
    <row r="690">
      <c r="D690" s="96"/>
    </row>
    <row r="691">
      <c r="D691" s="96"/>
    </row>
    <row r="692">
      <c r="D692" s="96"/>
    </row>
    <row r="693">
      <c r="D693" s="96"/>
    </row>
    <row r="694">
      <c r="D694" s="96"/>
    </row>
    <row r="695">
      <c r="D695" s="96"/>
    </row>
    <row r="696">
      <c r="D696" s="96"/>
    </row>
    <row r="697">
      <c r="D697" s="96"/>
    </row>
    <row r="698">
      <c r="D698" s="96"/>
    </row>
    <row r="699">
      <c r="D699" s="96"/>
    </row>
    <row r="700">
      <c r="D700" s="96"/>
    </row>
    <row r="701">
      <c r="D701" s="96"/>
    </row>
    <row r="702">
      <c r="D702" s="96"/>
    </row>
    <row r="703">
      <c r="D703" s="96"/>
    </row>
    <row r="704">
      <c r="D704" s="96"/>
    </row>
    <row r="705">
      <c r="D705" s="96"/>
    </row>
    <row r="706">
      <c r="D706" s="96"/>
    </row>
    <row r="707">
      <c r="D707" s="96"/>
    </row>
    <row r="708">
      <c r="D708" s="96"/>
    </row>
    <row r="709">
      <c r="D709" s="96"/>
    </row>
    <row r="710">
      <c r="D710" s="96"/>
    </row>
    <row r="711">
      <c r="D711" s="96"/>
    </row>
    <row r="712">
      <c r="D712" s="96"/>
    </row>
    <row r="713">
      <c r="D713" s="96"/>
    </row>
    <row r="714">
      <c r="D714" s="96"/>
    </row>
    <row r="715">
      <c r="D715" s="96"/>
    </row>
    <row r="716">
      <c r="D716" s="96"/>
    </row>
    <row r="717">
      <c r="D717" s="96"/>
    </row>
    <row r="718">
      <c r="D718" s="96"/>
    </row>
    <row r="719">
      <c r="D719" s="96"/>
    </row>
    <row r="720">
      <c r="D720" s="96"/>
    </row>
    <row r="721">
      <c r="D721" s="96"/>
    </row>
    <row r="722">
      <c r="D722" s="96"/>
    </row>
    <row r="723">
      <c r="D723" s="96"/>
    </row>
    <row r="724">
      <c r="D724" s="96"/>
    </row>
    <row r="725">
      <c r="D725" s="96"/>
    </row>
    <row r="726">
      <c r="D726" s="96"/>
    </row>
    <row r="727">
      <c r="D727" s="96"/>
    </row>
    <row r="728">
      <c r="D728" s="96"/>
    </row>
    <row r="729">
      <c r="D729" s="96"/>
    </row>
    <row r="730">
      <c r="D730" s="96"/>
    </row>
    <row r="731">
      <c r="D731" s="96"/>
    </row>
    <row r="732">
      <c r="D732" s="96"/>
    </row>
    <row r="733">
      <c r="D733" s="96"/>
    </row>
    <row r="734">
      <c r="D734" s="96"/>
    </row>
    <row r="735">
      <c r="D735" s="96"/>
    </row>
    <row r="736">
      <c r="D736" s="96"/>
    </row>
    <row r="737">
      <c r="D737" s="96"/>
    </row>
    <row r="738">
      <c r="D738" s="96"/>
    </row>
    <row r="739">
      <c r="D739" s="96"/>
    </row>
    <row r="740">
      <c r="D740" s="96"/>
    </row>
    <row r="741">
      <c r="D741" s="96"/>
    </row>
    <row r="742">
      <c r="D742" s="96"/>
    </row>
    <row r="743">
      <c r="D743" s="96"/>
    </row>
    <row r="744">
      <c r="D744" s="96"/>
    </row>
    <row r="745">
      <c r="D745" s="96"/>
    </row>
    <row r="746">
      <c r="D746" s="96"/>
    </row>
    <row r="747">
      <c r="D747" s="96"/>
    </row>
    <row r="748">
      <c r="D748" s="96"/>
    </row>
    <row r="749">
      <c r="D749" s="96"/>
    </row>
    <row r="750">
      <c r="D750" s="96"/>
    </row>
    <row r="751">
      <c r="D751" s="96"/>
    </row>
    <row r="752">
      <c r="D752" s="96"/>
    </row>
    <row r="753">
      <c r="D753" s="96"/>
    </row>
    <row r="754">
      <c r="D754" s="96"/>
    </row>
    <row r="755">
      <c r="D755" s="96"/>
    </row>
    <row r="756">
      <c r="D756" s="96"/>
    </row>
    <row r="757">
      <c r="D757" s="96"/>
    </row>
    <row r="758">
      <c r="D758" s="96"/>
    </row>
    <row r="759">
      <c r="D759" s="96"/>
    </row>
    <row r="760">
      <c r="D760" s="96"/>
    </row>
    <row r="761">
      <c r="D761" s="96"/>
    </row>
    <row r="762">
      <c r="D762" s="96"/>
    </row>
    <row r="763">
      <c r="D763" s="96"/>
    </row>
    <row r="764">
      <c r="D764" s="96"/>
    </row>
    <row r="765">
      <c r="D765" s="96"/>
    </row>
    <row r="766">
      <c r="D766" s="96"/>
    </row>
    <row r="767">
      <c r="D767" s="96"/>
    </row>
    <row r="768">
      <c r="D768" s="96"/>
    </row>
    <row r="769">
      <c r="D769" s="96"/>
    </row>
    <row r="770">
      <c r="D770" s="96"/>
    </row>
    <row r="771">
      <c r="D771" s="96"/>
    </row>
    <row r="772">
      <c r="D772" s="96"/>
    </row>
    <row r="773">
      <c r="D773" s="96"/>
    </row>
    <row r="774">
      <c r="D774" s="96"/>
    </row>
    <row r="775">
      <c r="D775" s="96"/>
    </row>
    <row r="776">
      <c r="D776" s="96"/>
    </row>
    <row r="777">
      <c r="D777" s="96"/>
    </row>
    <row r="778">
      <c r="D778" s="96"/>
    </row>
    <row r="779">
      <c r="D779" s="96"/>
    </row>
    <row r="780">
      <c r="D780" s="96"/>
    </row>
    <row r="781">
      <c r="D781" s="96"/>
    </row>
    <row r="782">
      <c r="D782" s="96"/>
    </row>
    <row r="783">
      <c r="D783" s="96"/>
    </row>
    <row r="784">
      <c r="D784" s="96"/>
    </row>
    <row r="785">
      <c r="D785" s="96"/>
    </row>
    <row r="786">
      <c r="D786" s="96"/>
    </row>
    <row r="787">
      <c r="D787" s="96"/>
    </row>
    <row r="788">
      <c r="D788" s="96"/>
    </row>
    <row r="789">
      <c r="D789" s="96"/>
    </row>
    <row r="790">
      <c r="D790" s="96"/>
    </row>
    <row r="791">
      <c r="D791" s="96"/>
    </row>
    <row r="792">
      <c r="D792" s="96"/>
    </row>
    <row r="793">
      <c r="D793" s="96"/>
    </row>
    <row r="794">
      <c r="D794" s="96"/>
    </row>
    <row r="795">
      <c r="D795" s="96"/>
    </row>
    <row r="796">
      <c r="D796" s="96"/>
    </row>
    <row r="797">
      <c r="D797" s="96"/>
    </row>
    <row r="798">
      <c r="D798" s="96"/>
    </row>
    <row r="799">
      <c r="D799" s="96"/>
    </row>
    <row r="800">
      <c r="D800" s="96"/>
    </row>
    <row r="801">
      <c r="D801" s="96"/>
    </row>
    <row r="802">
      <c r="D802" s="96"/>
    </row>
    <row r="803">
      <c r="D803" s="96"/>
    </row>
    <row r="804">
      <c r="D804" s="96"/>
    </row>
    <row r="805">
      <c r="D805" s="96"/>
    </row>
    <row r="806">
      <c r="D806" s="96"/>
    </row>
    <row r="807">
      <c r="D807" s="96"/>
    </row>
    <row r="808">
      <c r="D808" s="96"/>
    </row>
    <row r="809">
      <c r="D809" s="96"/>
    </row>
    <row r="810">
      <c r="D810" s="96"/>
    </row>
    <row r="811">
      <c r="D811" s="96"/>
    </row>
    <row r="812">
      <c r="D812" s="96"/>
    </row>
    <row r="813">
      <c r="D813" s="96"/>
    </row>
    <row r="814">
      <c r="D814" s="96"/>
    </row>
    <row r="815">
      <c r="D815" s="96"/>
    </row>
    <row r="816">
      <c r="D816" s="96"/>
    </row>
    <row r="817">
      <c r="D817" s="96"/>
    </row>
    <row r="818">
      <c r="D818" s="96"/>
    </row>
    <row r="819">
      <c r="D819" s="96"/>
    </row>
    <row r="820">
      <c r="D820" s="96"/>
    </row>
    <row r="821">
      <c r="D821" s="96"/>
    </row>
    <row r="822">
      <c r="D822" s="96"/>
    </row>
    <row r="823">
      <c r="D823" s="96"/>
    </row>
    <row r="824">
      <c r="D824" s="96"/>
    </row>
    <row r="825">
      <c r="D825" s="96"/>
    </row>
    <row r="826">
      <c r="D826" s="96"/>
    </row>
    <row r="827">
      <c r="D827" s="96"/>
    </row>
    <row r="828">
      <c r="D828" s="96"/>
    </row>
    <row r="829">
      <c r="D829" s="96"/>
    </row>
    <row r="830">
      <c r="D830" s="96"/>
    </row>
    <row r="831">
      <c r="D831" s="96"/>
    </row>
    <row r="832">
      <c r="D832" s="96"/>
    </row>
    <row r="833">
      <c r="D833" s="96"/>
    </row>
    <row r="834">
      <c r="D834" s="96"/>
    </row>
    <row r="835">
      <c r="D835" s="96"/>
    </row>
    <row r="836">
      <c r="D836" s="96"/>
    </row>
    <row r="837">
      <c r="D837" s="96"/>
    </row>
    <row r="838">
      <c r="D838" s="96"/>
    </row>
    <row r="839">
      <c r="D839" s="96"/>
    </row>
    <row r="840">
      <c r="D840" s="96"/>
    </row>
    <row r="841">
      <c r="D841" s="96"/>
    </row>
    <row r="842">
      <c r="D842" s="96"/>
    </row>
    <row r="843">
      <c r="D843" s="96"/>
    </row>
    <row r="844">
      <c r="D844" s="96"/>
    </row>
    <row r="845">
      <c r="D845" s="96"/>
    </row>
    <row r="846">
      <c r="D846" s="96"/>
    </row>
    <row r="847">
      <c r="D847" s="96"/>
    </row>
    <row r="848">
      <c r="D848" s="96"/>
    </row>
    <row r="849">
      <c r="D849" s="96"/>
    </row>
    <row r="850">
      <c r="D850" s="96"/>
    </row>
    <row r="851">
      <c r="D851" s="96"/>
    </row>
    <row r="852">
      <c r="D852" s="96"/>
    </row>
    <row r="853">
      <c r="D853" s="96"/>
    </row>
    <row r="854">
      <c r="D854" s="96"/>
    </row>
    <row r="855">
      <c r="D855" s="96"/>
    </row>
    <row r="856">
      <c r="D856" s="96"/>
    </row>
    <row r="857">
      <c r="D857" s="96"/>
    </row>
    <row r="858">
      <c r="D858" s="96"/>
    </row>
    <row r="859">
      <c r="D859" s="96"/>
    </row>
    <row r="860">
      <c r="D860" s="96"/>
    </row>
    <row r="861">
      <c r="D861" s="96"/>
    </row>
    <row r="862">
      <c r="D862" s="96"/>
    </row>
    <row r="863">
      <c r="D863" s="96"/>
    </row>
    <row r="864">
      <c r="D864" s="96"/>
    </row>
    <row r="865">
      <c r="D865" s="96"/>
    </row>
    <row r="866">
      <c r="D866" s="96"/>
    </row>
    <row r="867">
      <c r="D867" s="96"/>
    </row>
    <row r="868">
      <c r="D868" s="96"/>
    </row>
    <row r="869">
      <c r="D869" s="96"/>
    </row>
    <row r="870">
      <c r="D870" s="96"/>
    </row>
    <row r="871">
      <c r="D871" s="96"/>
    </row>
    <row r="872">
      <c r="D872" s="96"/>
    </row>
    <row r="873">
      <c r="D873" s="96"/>
    </row>
    <row r="874">
      <c r="D874" s="96"/>
    </row>
    <row r="875">
      <c r="D875" s="96"/>
    </row>
    <row r="876">
      <c r="D876" s="96"/>
    </row>
    <row r="877">
      <c r="D877" s="96"/>
    </row>
    <row r="878">
      <c r="D878" s="96"/>
    </row>
    <row r="879">
      <c r="D879" s="96"/>
    </row>
    <row r="880">
      <c r="D880" s="96"/>
    </row>
    <row r="881">
      <c r="D881" s="96"/>
    </row>
    <row r="882">
      <c r="D882" s="96"/>
    </row>
    <row r="883">
      <c r="D883" s="96"/>
    </row>
    <row r="884">
      <c r="D884" s="96"/>
    </row>
    <row r="885">
      <c r="D885" s="96"/>
    </row>
    <row r="886">
      <c r="D886" s="96"/>
    </row>
    <row r="887">
      <c r="D887" s="96"/>
    </row>
    <row r="888">
      <c r="D888" s="96"/>
    </row>
    <row r="889">
      <c r="D889" s="96"/>
    </row>
    <row r="890">
      <c r="D890" s="96"/>
    </row>
    <row r="891">
      <c r="D891" s="96"/>
    </row>
    <row r="892">
      <c r="D892" s="96"/>
    </row>
    <row r="893">
      <c r="D893" s="96"/>
    </row>
    <row r="894">
      <c r="D894" s="96"/>
    </row>
    <row r="895">
      <c r="D895" s="96"/>
    </row>
    <row r="896">
      <c r="D896" s="96"/>
    </row>
    <row r="897">
      <c r="D897" s="96"/>
    </row>
    <row r="898">
      <c r="D898" s="96"/>
    </row>
    <row r="899">
      <c r="D899" s="96"/>
    </row>
    <row r="900">
      <c r="D900" s="96"/>
    </row>
    <row r="901">
      <c r="D901" s="96"/>
    </row>
    <row r="902">
      <c r="D902" s="96"/>
    </row>
    <row r="903">
      <c r="D903" s="96"/>
    </row>
    <row r="904">
      <c r="D904" s="96"/>
    </row>
    <row r="905">
      <c r="D905" s="96"/>
    </row>
    <row r="906">
      <c r="D906" s="96"/>
    </row>
    <row r="907">
      <c r="D907" s="96"/>
    </row>
    <row r="908">
      <c r="D908" s="96"/>
    </row>
    <row r="909">
      <c r="D909" s="96"/>
    </row>
    <row r="910">
      <c r="D910" s="96"/>
    </row>
    <row r="911">
      <c r="D911" s="96"/>
    </row>
    <row r="912">
      <c r="D912" s="96"/>
    </row>
    <row r="913">
      <c r="D913" s="96"/>
    </row>
    <row r="914">
      <c r="D914" s="96"/>
    </row>
    <row r="915">
      <c r="D915" s="96"/>
    </row>
    <row r="916">
      <c r="D916" s="96"/>
    </row>
    <row r="917">
      <c r="D917" s="96"/>
    </row>
    <row r="918">
      <c r="D918" s="96"/>
    </row>
    <row r="919">
      <c r="D919" s="96"/>
    </row>
    <row r="920">
      <c r="D920" s="96"/>
    </row>
    <row r="921">
      <c r="D921" s="96"/>
    </row>
    <row r="922">
      <c r="D922" s="96"/>
    </row>
    <row r="923">
      <c r="D923" s="96"/>
    </row>
    <row r="924">
      <c r="D924" s="96"/>
    </row>
    <row r="925">
      <c r="D925" s="96"/>
    </row>
    <row r="926">
      <c r="D926" s="96"/>
    </row>
    <row r="927">
      <c r="D927" s="96"/>
    </row>
    <row r="928">
      <c r="D928" s="96"/>
    </row>
    <row r="929">
      <c r="D929" s="96"/>
    </row>
    <row r="930">
      <c r="D930" s="96"/>
    </row>
    <row r="931">
      <c r="D931" s="96"/>
    </row>
    <row r="932">
      <c r="D932" s="96"/>
    </row>
    <row r="933">
      <c r="D933" s="96"/>
    </row>
    <row r="934">
      <c r="D934" s="96"/>
    </row>
    <row r="935">
      <c r="D935" s="96"/>
    </row>
    <row r="936">
      <c r="D936" s="96"/>
    </row>
    <row r="937">
      <c r="D937" s="96"/>
    </row>
    <row r="938">
      <c r="D938" s="96"/>
    </row>
    <row r="939">
      <c r="D939" s="96"/>
    </row>
    <row r="940">
      <c r="D940" s="96"/>
    </row>
    <row r="941">
      <c r="D941" s="96"/>
    </row>
    <row r="942">
      <c r="D942" s="96"/>
    </row>
    <row r="943">
      <c r="D943" s="96"/>
    </row>
    <row r="944">
      <c r="D944" s="96"/>
    </row>
    <row r="945">
      <c r="D945" s="96"/>
    </row>
    <row r="946">
      <c r="D946" s="96"/>
    </row>
    <row r="947">
      <c r="D947" s="96"/>
    </row>
    <row r="948">
      <c r="D948" s="96"/>
    </row>
    <row r="949">
      <c r="D949" s="96"/>
    </row>
    <row r="950">
      <c r="D950" s="96"/>
    </row>
    <row r="951">
      <c r="D951" s="96"/>
    </row>
    <row r="952">
      <c r="D952" s="96"/>
    </row>
    <row r="953">
      <c r="D953" s="96"/>
    </row>
    <row r="954">
      <c r="D954" s="96"/>
    </row>
    <row r="955">
      <c r="D955" s="96"/>
    </row>
    <row r="956">
      <c r="D956" s="96"/>
    </row>
    <row r="957">
      <c r="D957" s="96"/>
    </row>
    <row r="958">
      <c r="D958" s="96"/>
    </row>
    <row r="959">
      <c r="D959" s="96"/>
    </row>
    <row r="960">
      <c r="D960" s="96"/>
    </row>
    <row r="961">
      <c r="D961" s="96"/>
    </row>
    <row r="962">
      <c r="D962" s="96"/>
    </row>
    <row r="963">
      <c r="D963" s="96"/>
    </row>
    <row r="964">
      <c r="D964" s="96"/>
    </row>
    <row r="965">
      <c r="D965" s="96"/>
    </row>
    <row r="966">
      <c r="D966" s="96"/>
    </row>
    <row r="967">
      <c r="D967" s="96"/>
    </row>
    <row r="968">
      <c r="D968" s="96"/>
    </row>
    <row r="969">
      <c r="D969" s="96"/>
    </row>
    <row r="970">
      <c r="D970" s="96"/>
    </row>
    <row r="971">
      <c r="D971" s="96"/>
    </row>
    <row r="972">
      <c r="D972" s="96"/>
    </row>
    <row r="973">
      <c r="D973" s="96"/>
    </row>
    <row r="974">
      <c r="D974" s="96"/>
    </row>
    <row r="975">
      <c r="D975" s="96"/>
    </row>
    <row r="976">
      <c r="D976" s="96"/>
    </row>
    <row r="977">
      <c r="D977" s="96"/>
    </row>
    <row r="978">
      <c r="D978" s="96"/>
    </row>
    <row r="979">
      <c r="D979" s="96"/>
    </row>
    <row r="980">
      <c r="D980" s="96"/>
    </row>
    <row r="981">
      <c r="D981" s="96"/>
    </row>
    <row r="982">
      <c r="D982" s="96"/>
    </row>
    <row r="983">
      <c r="D983" s="96"/>
    </row>
    <row r="984">
      <c r="D984" s="96"/>
    </row>
    <row r="985">
      <c r="D985" s="96"/>
    </row>
    <row r="986">
      <c r="D986" s="96"/>
    </row>
    <row r="987">
      <c r="D987" s="96"/>
    </row>
    <row r="988">
      <c r="D988" s="96"/>
    </row>
    <row r="989">
      <c r="D989" s="96"/>
    </row>
    <row r="990">
      <c r="D990" s="96"/>
    </row>
    <row r="991">
      <c r="D991" s="96"/>
    </row>
    <row r="992">
      <c r="D992" s="96"/>
    </row>
    <row r="993">
      <c r="D993" s="96"/>
    </row>
    <row r="994">
      <c r="D994" s="96"/>
    </row>
    <row r="995">
      <c r="D995" s="96"/>
    </row>
    <row r="996">
      <c r="D996" s="96"/>
    </row>
    <row r="997">
      <c r="D997" s="96"/>
    </row>
    <row r="998">
      <c r="D998" s="96"/>
    </row>
    <row r="999">
      <c r="D999" s="96"/>
    </row>
    <row r="1000">
      <c r="D1000" s="96"/>
    </row>
  </sheetData>
  <conditionalFormatting sqref="B2:Q70">
    <cfRule type="expression" dxfId="0" priority="1">
      <formula>$B2=1</formula>
    </cfRule>
  </conditionalFormatting>
  <conditionalFormatting sqref="B2:Q70">
    <cfRule type="containsBlanks" dxfId="1" priority="2">
      <formula>LEN(TRIM(B2))=0</formula>
    </cfRule>
  </conditionalFormatting>
  <conditionalFormatting sqref="B2:Q70">
    <cfRule type="notContainsBlanks" dxfId="2" priority="3">
      <formula>LEN(TRIM(B2))&gt;0</formula>
    </cfRule>
  </conditionalFormatting>
  <dataValidations>
    <dataValidation type="list" allowBlank="1" showErrorMessage="1" sqref="H2:H70">
      <formula1>"legendary,epic,rare,uncommon"</formula1>
    </dataValidation>
    <dataValidation type="list" allowBlank="1" showErrorMessage="1" sqref="K2:K70">
      <formula1>"/,Assault,Control,Support,Tank"</formula1>
    </dataValidation>
    <dataValidation type="list" allowBlank="1" showErrorMessage="1" sqref="J2:J70">
      <formula1>"/,Assault,Engineering,Mobility,Peacekeeping,PvP,Support,Tank"</formula1>
    </dataValidation>
    <dataValidation type="list" allowBlank="1" showErrorMessage="1" sqref="I2:I70">
      <formula1>"All-Rounder,Cavalry,Flying,Garrison,Gathering,Infantry,Magic,Marksman,Mobility,Peacekeeping,Rally"</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481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482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0.0"/>
    <col customWidth="1" min="4" max="4" width="8.63"/>
    <col customWidth="1" min="5" max="5" width="7.25"/>
    <col customWidth="1" min="8" max="8" width="15.75"/>
  </cols>
  <sheetData>
    <row r="1">
      <c r="A1" s="1" t="s">
        <v>483</v>
      </c>
      <c r="B1" s="2" t="s">
        <v>484</v>
      </c>
      <c r="C1" s="2" t="s">
        <v>485</v>
      </c>
      <c r="D1" s="2" t="s">
        <v>486</v>
      </c>
      <c r="E1" s="2" t="s">
        <v>487</v>
      </c>
      <c r="F1" s="42" t="s">
        <v>488</v>
      </c>
      <c r="G1" s="42" t="s">
        <v>489</v>
      </c>
      <c r="I1" s="97"/>
      <c r="J1" s="98"/>
      <c r="K1" s="98"/>
      <c r="L1" s="98"/>
      <c r="M1" s="99"/>
      <c r="N1" s="99"/>
    </row>
    <row r="2">
      <c r="A2" s="85">
        <v>1.0</v>
      </c>
      <c r="B2" s="11">
        <v>10.0</v>
      </c>
      <c r="C2" s="11">
        <f t="shared" ref="C2:C17" si="1">sum(B$2:B2)</f>
        <v>10</v>
      </c>
      <c r="D2" s="11">
        <v>10.0</v>
      </c>
      <c r="E2" s="11">
        <v>10.0</v>
      </c>
      <c r="I2" s="100"/>
      <c r="J2" s="101"/>
      <c r="K2" s="101"/>
      <c r="L2" s="102"/>
      <c r="M2" s="99"/>
      <c r="N2" s="99"/>
    </row>
    <row r="3">
      <c r="A3" s="85">
        <v>2.0</v>
      </c>
      <c r="B3" s="14">
        <v>10.0</v>
      </c>
      <c r="C3" s="11">
        <f t="shared" si="1"/>
        <v>20</v>
      </c>
      <c r="D3" s="14">
        <v>10.0</v>
      </c>
      <c r="E3" s="14">
        <v>10.0</v>
      </c>
      <c r="I3" s="100"/>
      <c r="J3" s="103"/>
      <c r="K3" s="101"/>
      <c r="L3" s="102"/>
      <c r="M3" s="99"/>
      <c r="N3" s="99"/>
    </row>
    <row r="4">
      <c r="A4" s="85">
        <v>3.0</v>
      </c>
      <c r="B4" s="14">
        <v>15.0</v>
      </c>
      <c r="C4" s="11">
        <f t="shared" si="1"/>
        <v>35</v>
      </c>
      <c r="D4" s="14">
        <v>10.0</v>
      </c>
      <c r="E4" s="14">
        <v>10.0</v>
      </c>
      <c r="I4" s="100"/>
      <c r="J4" s="103"/>
      <c r="K4" s="101"/>
      <c r="L4" s="102"/>
      <c r="M4" s="99"/>
      <c r="N4" s="99"/>
    </row>
    <row r="5">
      <c r="A5" s="85">
        <v>4.0</v>
      </c>
      <c r="B5" s="14">
        <v>15.0</v>
      </c>
      <c r="C5" s="11">
        <f t="shared" si="1"/>
        <v>50</v>
      </c>
      <c r="D5" s="14">
        <v>20.0</v>
      </c>
      <c r="E5" s="14">
        <v>10.0</v>
      </c>
      <c r="F5" s="42" t="s">
        <v>490</v>
      </c>
      <c r="I5" s="100"/>
      <c r="J5" s="103"/>
      <c r="K5" s="101"/>
      <c r="L5" s="102"/>
      <c r="M5" s="99"/>
      <c r="N5" s="99"/>
    </row>
    <row r="6">
      <c r="A6" s="85">
        <v>5.0</v>
      </c>
      <c r="B6" s="42">
        <v>30.0</v>
      </c>
      <c r="C6" s="11">
        <f t="shared" si="1"/>
        <v>80</v>
      </c>
      <c r="D6" s="42">
        <v>20.0</v>
      </c>
      <c r="E6" s="42">
        <v>10.0</v>
      </c>
      <c r="I6" s="100"/>
      <c r="J6" s="99"/>
      <c r="K6" s="101"/>
      <c r="L6" s="102"/>
      <c r="M6" s="99"/>
      <c r="N6" s="99"/>
    </row>
    <row r="7">
      <c r="A7" s="85">
        <v>6.0</v>
      </c>
      <c r="B7" s="14">
        <v>30.0</v>
      </c>
      <c r="C7" s="11">
        <f t="shared" si="1"/>
        <v>110</v>
      </c>
      <c r="D7" s="14">
        <v>20.0</v>
      </c>
      <c r="E7" s="14">
        <v>20.0</v>
      </c>
      <c r="I7" s="100"/>
      <c r="J7" s="103"/>
      <c r="K7" s="101"/>
      <c r="L7" s="102"/>
      <c r="M7" s="99"/>
      <c r="N7" s="99"/>
    </row>
    <row r="8">
      <c r="A8" s="85">
        <v>7.0</v>
      </c>
      <c r="B8" s="14">
        <v>40.0</v>
      </c>
      <c r="C8" s="11">
        <f t="shared" si="1"/>
        <v>150</v>
      </c>
      <c r="D8" s="14">
        <v>20.0</v>
      </c>
      <c r="E8" s="14">
        <v>20.0</v>
      </c>
      <c r="I8" s="100"/>
      <c r="J8" s="103"/>
      <c r="K8" s="101"/>
      <c r="L8" s="102"/>
      <c r="M8" s="99"/>
      <c r="N8" s="99"/>
    </row>
    <row r="9">
      <c r="A9" s="85">
        <v>8.0</v>
      </c>
      <c r="B9" s="14">
        <v>40.0</v>
      </c>
      <c r="C9" s="11">
        <f t="shared" si="1"/>
        <v>190</v>
      </c>
      <c r="D9" s="14">
        <v>30.0</v>
      </c>
      <c r="E9" s="14">
        <v>20.0</v>
      </c>
      <c r="F9" s="42" t="s">
        <v>491</v>
      </c>
      <c r="I9" s="100"/>
      <c r="J9" s="103"/>
      <c r="K9" s="101"/>
      <c r="L9" s="102"/>
      <c r="M9" s="99"/>
      <c r="N9" s="99"/>
    </row>
    <row r="10">
      <c r="A10" s="85">
        <v>9.0</v>
      </c>
      <c r="B10" s="14">
        <v>45.0</v>
      </c>
      <c r="C10" s="11">
        <f t="shared" si="1"/>
        <v>235</v>
      </c>
      <c r="D10" s="14">
        <v>30.0</v>
      </c>
      <c r="E10" s="14">
        <v>20.0</v>
      </c>
      <c r="I10" s="100"/>
      <c r="J10" s="103"/>
      <c r="K10" s="101"/>
      <c r="L10" s="102"/>
      <c r="M10" s="99"/>
      <c r="N10" s="99"/>
    </row>
    <row r="11">
      <c r="A11" s="85">
        <v>10.0</v>
      </c>
      <c r="B11" s="14">
        <v>45.0</v>
      </c>
      <c r="C11" s="11">
        <f t="shared" si="1"/>
        <v>280</v>
      </c>
      <c r="D11" s="14">
        <v>30.0</v>
      </c>
      <c r="E11" s="14">
        <v>20.0</v>
      </c>
      <c r="I11" s="100"/>
      <c r="J11" s="103"/>
      <c r="K11" s="101"/>
      <c r="L11" s="102"/>
      <c r="M11" s="99"/>
      <c r="N11" s="99"/>
    </row>
    <row r="12">
      <c r="A12" s="85">
        <v>11.0</v>
      </c>
      <c r="B12" s="14">
        <v>50.0</v>
      </c>
      <c r="C12" s="11">
        <f t="shared" si="1"/>
        <v>330</v>
      </c>
      <c r="D12" s="14">
        <v>30.0</v>
      </c>
      <c r="E12" s="14">
        <v>30.0</v>
      </c>
      <c r="I12" s="99"/>
      <c r="J12" s="99"/>
      <c r="K12" s="99"/>
      <c r="L12" s="99"/>
      <c r="M12" s="99"/>
      <c r="N12" s="99"/>
    </row>
    <row r="13">
      <c r="A13" s="85">
        <v>12.0</v>
      </c>
      <c r="B13" s="14">
        <v>50.0</v>
      </c>
      <c r="C13" s="11">
        <f t="shared" si="1"/>
        <v>380</v>
      </c>
      <c r="D13" s="14">
        <v>40.0</v>
      </c>
      <c r="E13" s="14">
        <v>30.0</v>
      </c>
      <c r="F13" s="42" t="s">
        <v>492</v>
      </c>
      <c r="I13" s="99"/>
      <c r="J13" s="99"/>
      <c r="K13" s="99"/>
      <c r="L13" s="99"/>
      <c r="M13" s="99"/>
      <c r="N13" s="99"/>
    </row>
    <row r="14">
      <c r="A14" s="85">
        <v>13.0</v>
      </c>
      <c r="B14" s="14">
        <v>75.0</v>
      </c>
      <c r="C14" s="11">
        <f t="shared" si="1"/>
        <v>455</v>
      </c>
      <c r="D14" s="14">
        <v>40.0</v>
      </c>
      <c r="E14" s="14">
        <v>30.0</v>
      </c>
      <c r="I14" s="99"/>
      <c r="J14" s="99"/>
      <c r="K14" s="99"/>
      <c r="L14" s="99"/>
      <c r="M14" s="99"/>
      <c r="N14" s="99"/>
    </row>
    <row r="15">
      <c r="A15" s="85">
        <v>14.0</v>
      </c>
      <c r="B15" s="14">
        <v>75.0</v>
      </c>
      <c r="C15" s="11">
        <f t="shared" si="1"/>
        <v>530</v>
      </c>
      <c r="D15" s="14">
        <v>40.0</v>
      </c>
      <c r="E15" s="14">
        <v>30.0</v>
      </c>
    </row>
    <row r="16">
      <c r="A16" s="85">
        <v>15.0</v>
      </c>
      <c r="B16" s="14">
        <v>80.0</v>
      </c>
      <c r="C16" s="11">
        <f t="shared" si="1"/>
        <v>610</v>
      </c>
      <c r="D16" s="14">
        <v>40.0</v>
      </c>
      <c r="E16" s="14">
        <v>30.0</v>
      </c>
    </row>
    <row r="17">
      <c r="A17" s="85">
        <v>16.0</v>
      </c>
      <c r="B17" s="14">
        <v>80.0</v>
      </c>
      <c r="C17" s="11">
        <f t="shared" si="1"/>
        <v>690</v>
      </c>
      <c r="D17" s="14">
        <v>50.0</v>
      </c>
      <c r="E17" s="14">
        <v>40.0</v>
      </c>
      <c r="F17" s="42" t="s">
        <v>493</v>
      </c>
    </row>
    <row r="18">
      <c r="A18" s="42" t="s">
        <v>107</v>
      </c>
      <c r="B18" s="33">
        <f>sum(B2:B17)</f>
        <v>690</v>
      </c>
      <c r="D18" s="33">
        <f t="shared" ref="D18:E18" si="2">sum(D2:D17)</f>
        <v>440</v>
      </c>
      <c r="E18" s="33">
        <f t="shared" si="2"/>
        <v>340</v>
      </c>
    </row>
    <row r="21">
      <c r="A21" s="42" t="s">
        <v>494</v>
      </c>
    </row>
    <row r="23">
      <c r="A23" s="42">
        <v>5.0</v>
      </c>
      <c r="B23" s="30">
        <v>4364.0</v>
      </c>
      <c r="D23" s="33">
        <f t="shared" ref="D23:D29" si="3">A23*B23</f>
        <v>21820</v>
      </c>
    </row>
    <row r="24">
      <c r="A24" s="42">
        <v>10.0</v>
      </c>
      <c r="B24" s="30">
        <v>6777.0</v>
      </c>
      <c r="D24" s="33">
        <f t="shared" si="3"/>
        <v>67770</v>
      </c>
    </row>
    <row r="25">
      <c r="A25" s="42">
        <v>50.0</v>
      </c>
      <c r="B25" s="30">
        <v>1774.0</v>
      </c>
      <c r="D25" s="33">
        <f t="shared" si="3"/>
        <v>88700</v>
      </c>
    </row>
    <row r="26">
      <c r="A26" s="42">
        <v>100.0</v>
      </c>
      <c r="B26" s="30">
        <v>521.0</v>
      </c>
      <c r="D26" s="33">
        <f t="shared" si="3"/>
        <v>52100</v>
      </c>
    </row>
    <row r="27">
      <c r="A27" s="42">
        <v>200.0</v>
      </c>
      <c r="B27" s="30">
        <v>165.0</v>
      </c>
      <c r="D27" s="33">
        <f t="shared" si="3"/>
        <v>33000</v>
      </c>
    </row>
    <row r="28">
      <c r="A28" s="42">
        <v>500.0</v>
      </c>
      <c r="B28" s="30">
        <v>153.0</v>
      </c>
      <c r="D28" s="33">
        <f t="shared" si="3"/>
        <v>76500</v>
      </c>
    </row>
    <row r="29">
      <c r="A29" s="42">
        <v>1000.0</v>
      </c>
      <c r="B29" s="30">
        <v>102.0</v>
      </c>
      <c r="D29" s="33">
        <f t="shared" si="3"/>
        <v>102000</v>
      </c>
    </row>
    <row r="30">
      <c r="D30" s="33">
        <f>SUM(D23:D29)</f>
        <v>441890</v>
      </c>
    </row>
    <row r="34">
      <c r="A34" s="30">
        <v>5.0</v>
      </c>
      <c r="B34" s="30">
        <v>2104.0</v>
      </c>
      <c r="C34" s="33">
        <f t="shared" ref="C34:C40" si="4">A34*B34</f>
        <v>10520</v>
      </c>
      <c r="H34" s="42" t="s">
        <v>495</v>
      </c>
      <c r="I34" s="42" t="s">
        <v>496</v>
      </c>
      <c r="K34" s="42" t="s">
        <v>497</v>
      </c>
    </row>
    <row r="35">
      <c r="A35" s="30">
        <v>10.0</v>
      </c>
      <c r="B35" s="30">
        <v>5763.0</v>
      </c>
      <c r="C35" s="33">
        <f t="shared" si="4"/>
        <v>57630</v>
      </c>
      <c r="H35" s="42" t="s">
        <v>498</v>
      </c>
      <c r="I35" s="42" t="s">
        <v>499</v>
      </c>
      <c r="K35" s="42" t="s">
        <v>500</v>
      </c>
    </row>
    <row r="36">
      <c r="A36" s="30">
        <v>50.0</v>
      </c>
      <c r="B36" s="30">
        <v>1571.0</v>
      </c>
      <c r="C36" s="33">
        <f t="shared" si="4"/>
        <v>78550</v>
      </c>
      <c r="H36" s="42" t="s">
        <v>501</v>
      </c>
      <c r="I36" s="42" t="s">
        <v>502</v>
      </c>
      <c r="K36" s="42" t="s">
        <v>503</v>
      </c>
    </row>
    <row r="37">
      <c r="A37" s="30">
        <v>100.0</v>
      </c>
      <c r="B37" s="30">
        <v>449.0</v>
      </c>
      <c r="C37" s="33">
        <f t="shared" si="4"/>
        <v>44900</v>
      </c>
      <c r="I37" s="42" t="s">
        <v>504</v>
      </c>
      <c r="K37" s="42" t="s">
        <v>505</v>
      </c>
    </row>
    <row r="38">
      <c r="A38" s="30">
        <v>200.0</v>
      </c>
      <c r="B38" s="30">
        <v>155.0</v>
      </c>
      <c r="C38" s="33">
        <f t="shared" si="4"/>
        <v>31000</v>
      </c>
    </row>
    <row r="39">
      <c r="A39" s="30">
        <v>500.0</v>
      </c>
      <c r="B39" s="30">
        <v>134.0</v>
      </c>
      <c r="C39" s="33">
        <f t="shared" si="4"/>
        <v>67000</v>
      </c>
      <c r="H39" s="42" t="s">
        <v>506</v>
      </c>
    </row>
    <row r="40">
      <c r="A40" s="30">
        <v>1000.0</v>
      </c>
      <c r="B40" s="30">
        <v>92.0</v>
      </c>
      <c r="C40" s="33">
        <f t="shared" si="4"/>
        <v>92000</v>
      </c>
    </row>
    <row r="41">
      <c r="C41" s="33">
        <f>SUM(C34:C40)</f>
        <v>381600</v>
      </c>
    </row>
    <row r="42">
      <c r="H42" s="42" t="s">
        <v>507</v>
      </c>
      <c r="I42" s="42">
        <v>1200.0</v>
      </c>
      <c r="J42" s="42">
        <v>3.49</v>
      </c>
      <c r="K42" s="30">
        <v>2.0</v>
      </c>
      <c r="L42" s="33">
        <f t="shared" ref="L42:L44" si="5">I42*K42</f>
        <v>2400</v>
      </c>
      <c r="M42" s="33">
        <f t="shared" ref="M42:M44" si="6">J42*K42</f>
        <v>6.98</v>
      </c>
    </row>
    <row r="43">
      <c r="A43" s="30">
        <v>1000.0</v>
      </c>
      <c r="B43" s="30">
        <v>305.0</v>
      </c>
      <c r="C43" s="104">
        <f t="shared" ref="C43:C46" si="7">A43*B43</f>
        <v>305000</v>
      </c>
      <c r="H43" s="42" t="s">
        <v>508</v>
      </c>
      <c r="I43" s="42">
        <v>750.0</v>
      </c>
      <c r="J43" s="42">
        <v>3.49</v>
      </c>
      <c r="K43" s="30">
        <v>2.0</v>
      </c>
      <c r="L43" s="33">
        <f t="shared" si="5"/>
        <v>1500</v>
      </c>
      <c r="M43" s="33">
        <f t="shared" si="6"/>
        <v>6.98</v>
      </c>
    </row>
    <row r="44">
      <c r="A44" s="30">
        <v>5000.0</v>
      </c>
      <c r="B44" s="30">
        <v>31.0</v>
      </c>
      <c r="C44" s="104">
        <f t="shared" si="7"/>
        <v>155000</v>
      </c>
      <c r="H44" s="42" t="s">
        <v>509</v>
      </c>
      <c r="I44" s="42">
        <v>1500.0</v>
      </c>
      <c r="J44" s="42">
        <v>5.99</v>
      </c>
      <c r="K44" s="30">
        <v>1.0</v>
      </c>
      <c r="L44" s="33">
        <f t="shared" si="5"/>
        <v>1500</v>
      </c>
      <c r="M44" s="33">
        <f t="shared" si="6"/>
        <v>5.99</v>
      </c>
    </row>
    <row r="45">
      <c r="A45" s="30">
        <v>20000.0</v>
      </c>
      <c r="B45" s="30">
        <v>63.0</v>
      </c>
      <c r="C45" s="104">
        <f t="shared" si="7"/>
        <v>1260000</v>
      </c>
    </row>
    <row r="46">
      <c r="A46" s="30">
        <v>50000.0</v>
      </c>
      <c r="B46" s="30">
        <v>34.0</v>
      </c>
      <c r="C46" s="104">
        <f t="shared" si="7"/>
        <v>1700000</v>
      </c>
    </row>
    <row r="47">
      <c r="C47" s="104">
        <f>sum(C43:C46)</f>
        <v>3420000</v>
      </c>
      <c r="H47" s="105"/>
      <c r="L47" s="33">
        <f t="shared" ref="L47:M47" si="8">SUM(L42:L46)</f>
        <v>5400</v>
      </c>
      <c r="M47" s="33">
        <f t="shared" si="8"/>
        <v>19.95</v>
      </c>
    </row>
  </sheetData>
  <conditionalFormatting sqref="B2:E17">
    <cfRule type="expression" dxfId="0" priority="1">
      <formula>$B2=1</formula>
    </cfRule>
  </conditionalFormatting>
  <conditionalFormatting sqref="B2:E17">
    <cfRule type="containsBlanks" dxfId="1" priority="2">
      <formula>LEN(TRIM(B2))=0</formula>
    </cfRule>
  </conditionalFormatting>
  <conditionalFormatting sqref="B2:E17">
    <cfRule type="notContainsBlanks" dxfId="2" priority="3">
      <formula>LEN(TRIM(B2))&gt;0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25"/>
    <col customWidth="1" min="5" max="5" width="24.25"/>
  </cols>
  <sheetData>
    <row r="1">
      <c r="A1" s="105" t="s">
        <v>510</v>
      </c>
      <c r="B1" s="105" t="s">
        <v>511</v>
      </c>
      <c r="C1" s="105" t="s">
        <v>512</v>
      </c>
      <c r="D1" s="105" t="s">
        <v>513</v>
      </c>
    </row>
    <row r="2">
      <c r="A2" s="42" t="s">
        <v>514</v>
      </c>
      <c r="B2" s="42" t="s">
        <v>515</v>
      </c>
      <c r="C2" s="42">
        <v>1.0</v>
      </c>
      <c r="E2" s="33" t="str">
        <f>VLOOKUP(C2,'Talent Node'!A:E,2,FALSE)</f>
        <v>Overall Attack</v>
      </c>
    </row>
    <row r="3">
      <c r="A3" s="42" t="s">
        <v>516</v>
      </c>
      <c r="B3" s="42" t="s">
        <v>515</v>
      </c>
      <c r="C3" s="42">
        <v>2.0</v>
      </c>
      <c r="E3" s="33" t="str">
        <f>VLOOKUP(C3,'Talent Node'!A:E,2,FALSE)</f>
        <v>Overall Speed</v>
      </c>
    </row>
    <row r="4">
      <c r="A4" s="42" t="s">
        <v>517</v>
      </c>
      <c r="B4" s="42" t="s">
        <v>515</v>
      </c>
      <c r="C4" s="42">
        <v>3.0</v>
      </c>
      <c r="E4" s="33" t="str">
        <f>VLOOKUP(C4,'Talent Node'!A:E,2,FALSE)</f>
        <v>Overall Defense</v>
      </c>
    </row>
    <row r="5">
      <c r="A5" s="42" t="s">
        <v>518</v>
      </c>
      <c r="B5" s="42" t="s">
        <v>515</v>
      </c>
      <c r="C5" s="42">
        <v>5.0</v>
      </c>
      <c r="E5" s="33" t="str">
        <f>VLOOKUP(C5,'Talent Node'!A:E,2,FALSE)</f>
        <v>Logistics Master</v>
      </c>
    </row>
    <row r="6">
      <c r="A6" s="42" t="s">
        <v>519</v>
      </c>
      <c r="B6" s="42" t="s">
        <v>515</v>
      </c>
      <c r="C6" s="42">
        <v>4.0</v>
      </c>
      <c r="E6" s="33" t="str">
        <f>VLOOKUP(C6,'Talent Node'!A:E,2,FALSE)</f>
        <v>Overall Health</v>
      </c>
    </row>
    <row r="7">
      <c r="A7" s="42" t="s">
        <v>520</v>
      </c>
      <c r="B7" s="42" t="s">
        <v>515</v>
      </c>
      <c r="C7" s="42">
        <v>27.0</v>
      </c>
      <c r="E7" s="33" t="str">
        <f>VLOOKUP(C7,'Talent Node'!A:E,2,FALSE)</f>
        <v>Bane of Darkness</v>
      </c>
    </row>
    <row r="8">
      <c r="A8" s="42">
        <v>1.1</v>
      </c>
      <c r="B8" s="42" t="s">
        <v>211</v>
      </c>
      <c r="C8" s="42">
        <v>13.0</v>
      </c>
      <c r="E8" s="33" t="str">
        <f>VLOOKUP(C8,'Talent Node'!A:E,2,FALSE)</f>
        <v>Marksman ATK</v>
      </c>
    </row>
    <row r="9">
      <c r="A9" s="42">
        <v>2.1</v>
      </c>
      <c r="B9" s="42" t="s">
        <v>211</v>
      </c>
      <c r="C9" s="42">
        <v>15.0</v>
      </c>
      <c r="E9" s="33" t="str">
        <f>VLOOKUP(C9,'Talent Node'!A:E,2,FALSE)</f>
        <v>Marksman Speed</v>
      </c>
    </row>
    <row r="10">
      <c r="A10" s="42">
        <v>2.2</v>
      </c>
      <c r="B10" s="42" t="s">
        <v>211</v>
      </c>
      <c r="C10" s="42">
        <v>14.0</v>
      </c>
      <c r="E10" s="33" t="str">
        <f>VLOOKUP(C10,'Talent Node'!A:E,2,FALSE)</f>
        <v>Fully Loaded</v>
      </c>
    </row>
    <row r="11">
      <c r="A11" s="42">
        <v>2.3</v>
      </c>
      <c r="B11" s="42" t="s">
        <v>211</v>
      </c>
      <c r="C11" s="42">
        <v>11.0</v>
      </c>
      <c r="E11" s="33" t="str">
        <f>VLOOKUP(C11,'Talent Node'!A:E,2,FALSE)</f>
        <v>Head Held High</v>
      </c>
    </row>
    <row r="12">
      <c r="A12" s="42">
        <v>3.1</v>
      </c>
      <c r="B12" s="42" t="s">
        <v>211</v>
      </c>
      <c r="C12" s="42">
        <v>18.0</v>
      </c>
      <c r="E12" s="33" t="str">
        <f>VLOOKUP(C12,'Talent Node'!A:E,2,FALSE)</f>
        <v>Alert</v>
      </c>
    </row>
    <row r="13">
      <c r="A13" s="42">
        <v>3.2</v>
      </c>
      <c r="B13" s="42" t="s">
        <v>211</v>
      </c>
      <c r="C13" s="42">
        <v>17.0</v>
      </c>
      <c r="E13" s="33" t="str">
        <f>VLOOKUP(C13,'Talent Node'!A:E,2,FALSE)</f>
        <v>Steady Shot</v>
      </c>
    </row>
    <row r="14">
      <c r="A14" s="42">
        <v>3.3</v>
      </c>
      <c r="B14" s="42" t="s">
        <v>211</v>
      </c>
      <c r="C14" s="42">
        <v>16.0</v>
      </c>
      <c r="E14" s="33" t="str">
        <f>VLOOKUP(C14,'Talent Node'!A:E,2,FALSE)</f>
        <v>Intimidation</v>
      </c>
    </row>
    <row r="15">
      <c r="A15" s="42">
        <v>4.1</v>
      </c>
      <c r="B15" s="42" t="s">
        <v>211</v>
      </c>
      <c r="C15" s="42">
        <v>20.0</v>
      </c>
      <c r="E15" s="33" t="str">
        <f>VLOOKUP(C15,'Talent Node'!A:E,2,FALSE)</f>
        <v>Shower of Blows</v>
      </c>
    </row>
    <row r="16">
      <c r="A16" s="42">
        <v>4.2</v>
      </c>
      <c r="B16" s="42" t="s">
        <v>211</v>
      </c>
      <c r="C16" s="42">
        <v>19.0</v>
      </c>
      <c r="E16" s="33" t="str">
        <f>VLOOKUP(C16,'Talent Node'!A:E,2,FALSE)</f>
        <v>Bullseye</v>
      </c>
    </row>
    <row r="17">
      <c r="A17" s="42">
        <v>5.1</v>
      </c>
      <c r="B17" s="42" t="s">
        <v>211</v>
      </c>
      <c r="C17" s="42">
        <v>22.0</v>
      </c>
      <c r="E17" s="33" t="str">
        <f>VLOOKUP(C17,'Talent Node'!A:E,2,FALSE)</f>
        <v>Marksman HP</v>
      </c>
    </row>
    <row r="18">
      <c r="A18" s="42">
        <v>5.2</v>
      </c>
      <c r="B18" s="42" t="s">
        <v>211</v>
      </c>
      <c r="C18" s="42">
        <v>23.0</v>
      </c>
      <c r="E18" s="33" t="str">
        <f>VLOOKUP(C18,'Talent Node'!A:E,2,FALSE)</f>
        <v>Magic Countertactics</v>
      </c>
    </row>
    <row r="19">
      <c r="A19" s="42">
        <v>5.3</v>
      </c>
      <c r="B19" s="42" t="s">
        <v>211</v>
      </c>
      <c r="C19" s="42">
        <v>21.0</v>
      </c>
      <c r="E19" s="33" t="str">
        <f>VLOOKUP(C19,'Talent Node'!A:E,2,FALSE)</f>
        <v>Egoism</v>
      </c>
    </row>
    <row r="20">
      <c r="A20" s="42">
        <v>6.1</v>
      </c>
      <c r="B20" s="42" t="s">
        <v>211</v>
      </c>
      <c r="C20" s="42">
        <v>26.0</v>
      </c>
      <c r="D20" s="30">
        <v>5.1</v>
      </c>
      <c r="E20" s="33" t="str">
        <f>VLOOKUP(C20,'Talent Node'!A:E,2,FALSE)</f>
        <v>Delight</v>
      </c>
    </row>
    <row r="21">
      <c r="A21" s="42">
        <v>6.2</v>
      </c>
      <c r="B21" s="42" t="s">
        <v>211</v>
      </c>
      <c r="C21" s="42">
        <v>25.0</v>
      </c>
      <c r="E21" s="33" t="str">
        <f>VLOOKUP(C21,'Talent Node'!A:E,2,FALSE)</f>
        <v>Binding Snare</v>
      </c>
    </row>
    <row r="22">
      <c r="A22" s="42">
        <v>6.3</v>
      </c>
      <c r="B22" s="42" t="s">
        <v>211</v>
      </c>
      <c r="C22" s="42">
        <v>24.0</v>
      </c>
      <c r="E22" s="33" t="str">
        <f>VLOOKUP(C22,'Talent Node'!A:E,2,FALSE)</f>
        <v>Callousness</v>
      </c>
    </row>
    <row r="23">
      <c r="A23" s="42">
        <v>7.1</v>
      </c>
      <c r="B23" s="42" t="s">
        <v>211</v>
      </c>
      <c r="C23" s="42">
        <v>35.0</v>
      </c>
      <c r="E23" s="33" t="str">
        <f>VLOOKUP(C23,'Talent Node'!A:E,2,FALSE)</f>
        <v>Last Word</v>
      </c>
    </row>
    <row r="24">
      <c r="A24" s="42">
        <v>7.2</v>
      </c>
      <c r="B24" s="42" t="s">
        <v>211</v>
      </c>
      <c r="C24" s="42">
        <v>56.0</v>
      </c>
      <c r="E24" s="33" t="str">
        <f>VLOOKUP(C24,'Talent Node'!A:E,2,FALSE)</f>
        <v>Radical</v>
      </c>
    </row>
    <row r="25">
      <c r="A25" s="42">
        <v>7.3</v>
      </c>
      <c r="B25" s="42" t="s">
        <v>211</v>
      </c>
      <c r="C25" s="42">
        <v>57.0</v>
      </c>
      <c r="E25" s="33" t="str">
        <f>VLOOKUP(C25,'Talent Node'!A:E,2,FALSE)</f>
        <v>Harvest</v>
      </c>
    </row>
    <row r="26">
      <c r="A26" s="42">
        <v>8.1</v>
      </c>
      <c r="B26" s="42" t="s">
        <v>211</v>
      </c>
      <c r="C26" s="42">
        <v>29.0</v>
      </c>
      <c r="E26" s="33" t="str">
        <f>VLOOKUP(C26,'Talent Node'!A:E,2,FALSE)</f>
        <v>Pursuit</v>
      </c>
    </row>
    <row r="27">
      <c r="A27" s="42">
        <v>8.2</v>
      </c>
      <c r="B27" s="42" t="s">
        <v>211</v>
      </c>
      <c r="C27" s="42">
        <v>28.0</v>
      </c>
      <c r="E27" s="33" t="str">
        <f>VLOOKUP(C27,'Talent Node'!A:E,2,FALSE)</f>
        <v>Burst Shot</v>
      </c>
    </row>
    <row r="28">
      <c r="A28" s="42">
        <v>1.1</v>
      </c>
      <c r="B28" s="42" t="s">
        <v>187</v>
      </c>
      <c r="C28" s="42">
        <v>9.0</v>
      </c>
      <c r="E28" s="33" t="str">
        <f>VLOOKUP(C28,'Talent Node'!A:E,2,FALSE)</f>
        <v>Overall Health</v>
      </c>
    </row>
    <row r="29">
      <c r="A29" s="42">
        <v>2.1</v>
      </c>
      <c r="B29" s="42" t="s">
        <v>187</v>
      </c>
      <c r="C29" s="42">
        <v>8.0</v>
      </c>
      <c r="E29" s="33" t="str">
        <f>VLOOKUP(C29,'Talent Node'!A:E,2,FALSE)</f>
        <v>Overall Defense</v>
      </c>
    </row>
    <row r="30">
      <c r="A30" s="42">
        <v>2.2</v>
      </c>
      <c r="B30" s="42" t="s">
        <v>187</v>
      </c>
      <c r="C30" s="42">
        <v>6.0</v>
      </c>
      <c r="E30" s="33" t="str">
        <f>VLOOKUP(C30,'Talent Node'!A:E,2,FALSE)</f>
        <v>Overall Attack</v>
      </c>
    </row>
    <row r="31">
      <c r="A31" s="42">
        <v>2.3</v>
      </c>
      <c r="B31" s="42" t="s">
        <v>187</v>
      </c>
      <c r="C31" s="42">
        <v>7.0</v>
      </c>
      <c r="E31" s="33" t="str">
        <f>VLOOKUP(C31,'Talent Node'!A:E,2,FALSE)</f>
        <v>Overall Speed</v>
      </c>
    </row>
    <row r="32">
      <c r="A32" s="42">
        <v>3.1</v>
      </c>
      <c r="B32" s="42" t="s">
        <v>187</v>
      </c>
      <c r="C32" s="42">
        <v>247.0</v>
      </c>
      <c r="E32" s="33" t="str">
        <f>VLOOKUP(C32,'Talent Node'!A:E,2,FALSE)</f>
        <v>Pincer Attack</v>
      </c>
    </row>
    <row r="33">
      <c r="A33" s="42">
        <v>3.2</v>
      </c>
      <c r="B33" s="42" t="s">
        <v>187</v>
      </c>
      <c r="C33" s="42">
        <v>246.0</v>
      </c>
      <c r="E33" s="33" t="str">
        <f>VLOOKUP(C33,'Talent Node'!A:E,2,FALSE)</f>
        <v>Punitive Expedition</v>
      </c>
    </row>
    <row r="34">
      <c r="A34" s="42">
        <v>3.3</v>
      </c>
      <c r="B34" s="42" t="s">
        <v>187</v>
      </c>
      <c r="C34" s="42">
        <v>245.0</v>
      </c>
      <c r="E34" s="33" t="str">
        <f>VLOOKUP(C34,'Talent Node'!A:E,2,FALSE)</f>
        <v>Cut Through</v>
      </c>
    </row>
    <row r="35">
      <c r="A35" s="42">
        <v>4.1</v>
      </c>
      <c r="B35" s="42" t="s">
        <v>187</v>
      </c>
      <c r="C35" s="42">
        <v>34.0</v>
      </c>
      <c r="E35" s="33" t="str">
        <f>VLOOKUP(C35,'Talent Node'!A:E,2,FALSE)</f>
        <v>Landslide</v>
      </c>
    </row>
    <row r="36">
      <c r="A36" s="42">
        <v>4.2</v>
      </c>
      <c r="B36" s="42" t="s">
        <v>187</v>
      </c>
      <c r="C36" s="42">
        <v>33.0</v>
      </c>
      <c r="E36" s="33" t="str">
        <f>VLOOKUP(C36,'Talent Node'!A:E,2,FALSE)</f>
        <v>Fair Offense</v>
      </c>
    </row>
    <row r="37">
      <c r="A37" s="42">
        <v>5.1</v>
      </c>
      <c r="B37" s="42" t="s">
        <v>187</v>
      </c>
      <c r="C37" s="42">
        <v>250.0</v>
      </c>
      <c r="E37" s="33" t="str">
        <f>VLOOKUP(C37,'Talent Node'!A:E,2,FALSE)</f>
        <v>Double Time</v>
      </c>
    </row>
    <row r="38">
      <c r="A38" s="42">
        <v>5.2</v>
      </c>
      <c r="B38" s="42" t="s">
        <v>187</v>
      </c>
      <c r="C38" s="42">
        <v>249.0</v>
      </c>
      <c r="E38" s="33" t="str">
        <f>VLOOKUP(C38,'Talent Node'!A:E,2,FALSE)</f>
        <v>Martial Spirit</v>
      </c>
    </row>
    <row r="39">
      <c r="A39" s="42">
        <v>5.3</v>
      </c>
      <c r="B39" s="42" t="s">
        <v>187</v>
      </c>
      <c r="C39" s="42">
        <v>248.0</v>
      </c>
      <c r="E39" s="33" t="str">
        <f>VLOOKUP(C39,'Talent Node'!A:E,2,FALSE)</f>
        <v>Show of Strength</v>
      </c>
    </row>
    <row r="40">
      <c r="A40" s="42">
        <v>6.1</v>
      </c>
      <c r="B40" s="42" t="s">
        <v>187</v>
      </c>
      <c r="C40" s="42">
        <v>251.0</v>
      </c>
      <c r="E40" s="33" t="str">
        <f>VLOOKUP(C40,'Talent Node'!A:E,2,FALSE)</f>
        <v>Steel Whirlwind</v>
      </c>
    </row>
    <row r="41">
      <c r="A41" s="42">
        <v>6.2</v>
      </c>
      <c r="B41" s="42" t="s">
        <v>187</v>
      </c>
      <c r="C41" s="30">
        <v>244.0</v>
      </c>
      <c r="E41" s="33" t="str">
        <f>VLOOKUP(C41,'Talent Node'!A:E,2,FALSE)</f>
        <v>Redoubtable</v>
      </c>
    </row>
    <row r="42">
      <c r="A42" s="42">
        <v>6.3</v>
      </c>
      <c r="B42" s="42" t="s">
        <v>187</v>
      </c>
      <c r="C42" s="42">
        <v>37.0</v>
      </c>
      <c r="E42" s="33" t="str">
        <f>VLOOKUP(C42,'Talent Node'!A:E,2,FALSE)</f>
        <v>Frustration</v>
      </c>
    </row>
    <row r="43">
      <c r="A43" s="42">
        <v>7.1</v>
      </c>
      <c r="B43" s="42" t="s">
        <v>187</v>
      </c>
      <c r="C43" s="42">
        <v>41.0</v>
      </c>
      <c r="E43" s="33" t="str">
        <f>VLOOKUP(C43,'Talent Node'!A:E,2,FALSE)</f>
        <v>Frontline Support</v>
      </c>
    </row>
    <row r="44">
      <c r="A44" s="42">
        <v>7.2</v>
      </c>
      <c r="B44" s="42" t="s">
        <v>187</v>
      </c>
      <c r="C44" s="42">
        <v>40.0</v>
      </c>
      <c r="D44" s="42">
        <v>6.2</v>
      </c>
      <c r="E44" s="33" t="str">
        <f>VLOOKUP(C44,'Talent Node'!A:E,2,FALSE)</f>
        <v>Plan of Attack</v>
      </c>
    </row>
    <row r="45">
      <c r="A45" s="42">
        <v>7.3</v>
      </c>
      <c r="B45" s="42" t="s">
        <v>187</v>
      </c>
      <c r="C45" s="42">
        <v>252.0</v>
      </c>
      <c r="E45" s="33" t="str">
        <f>VLOOKUP(C45,'Talent Node'!A:E,2,FALSE)</f>
        <v>Armored Assault</v>
      </c>
    </row>
    <row r="46">
      <c r="A46" s="42">
        <v>8.1</v>
      </c>
      <c r="B46" s="42" t="s">
        <v>187</v>
      </c>
      <c r="C46" s="42">
        <v>43.0</v>
      </c>
      <c r="E46" s="33" t="str">
        <f>VLOOKUP(C46,'Talent Node'!A:E,2,FALSE)</f>
        <v>Reversal of Fortune</v>
      </c>
    </row>
    <row r="47">
      <c r="A47" s="42">
        <v>8.2</v>
      </c>
      <c r="B47" s="42" t="s">
        <v>187</v>
      </c>
      <c r="C47" s="42">
        <v>42.0</v>
      </c>
      <c r="E47" s="33" t="str">
        <f>VLOOKUP(C47,'Talent Node'!A:E,2,FALSE)</f>
        <v>Trailblazer</v>
      </c>
    </row>
    <row r="48">
      <c r="A48" s="42">
        <v>0.0</v>
      </c>
      <c r="B48" s="42" t="s">
        <v>521</v>
      </c>
      <c r="C48" s="42">
        <v>12.0</v>
      </c>
      <c r="E48" s="33" t="str">
        <f>VLOOKUP(C48,'Talent Node'!A:E,2,FALSE)</f>
        <v>Arrow of Precision</v>
      </c>
    </row>
    <row r="49">
      <c r="A49" s="42">
        <v>1.1</v>
      </c>
      <c r="B49" s="42" t="s">
        <v>521</v>
      </c>
      <c r="C49" s="42">
        <v>6.0</v>
      </c>
      <c r="E49" s="33" t="str">
        <f>VLOOKUP(C49,'Talent Node'!A:E,2,FALSE)</f>
        <v>Overall Attack</v>
      </c>
    </row>
    <row r="50">
      <c r="A50" s="42">
        <v>2.1</v>
      </c>
      <c r="B50" s="42" t="s">
        <v>521</v>
      </c>
      <c r="C50" s="42">
        <v>7.0</v>
      </c>
      <c r="E50" s="33" t="str">
        <f>VLOOKUP(C50,'Talent Node'!A:E,2,FALSE)</f>
        <v>Overall Speed</v>
      </c>
    </row>
    <row r="51">
      <c r="A51" s="42">
        <v>2.2</v>
      </c>
      <c r="B51" s="42" t="s">
        <v>521</v>
      </c>
      <c r="C51" s="42">
        <v>31.0</v>
      </c>
      <c r="E51" s="33" t="str">
        <f>VLOOKUP(C51,'Talent Node'!A:E,2,FALSE)</f>
        <v>Adrenaline Rush</v>
      </c>
    </row>
    <row r="52">
      <c r="A52" s="42">
        <v>2.3</v>
      </c>
      <c r="B52" s="42" t="s">
        <v>521</v>
      </c>
      <c r="C52" s="42">
        <v>21.0</v>
      </c>
      <c r="E52" s="33" t="str">
        <f>VLOOKUP(C52,'Talent Node'!A:E,2,FALSE)</f>
        <v>Egoism</v>
      </c>
    </row>
    <row r="53">
      <c r="A53" s="42">
        <v>3.1</v>
      </c>
      <c r="B53" s="42" t="s">
        <v>521</v>
      </c>
      <c r="C53" s="42">
        <v>35.0</v>
      </c>
      <c r="E53" s="33" t="str">
        <f>VLOOKUP(C53,'Talent Node'!A:E,2,FALSE)</f>
        <v>Last Word</v>
      </c>
    </row>
    <row r="54">
      <c r="A54" s="42">
        <v>3.2</v>
      </c>
      <c r="B54" s="42" t="s">
        <v>521</v>
      </c>
      <c r="C54" s="42">
        <v>45.0</v>
      </c>
      <c r="E54" s="33" t="str">
        <f>VLOOKUP(C54,'Talent Node'!A:E,2,FALSE)</f>
        <v>Strengthened Weaponry</v>
      </c>
    </row>
    <row r="55">
      <c r="A55" s="42">
        <v>3.3</v>
      </c>
      <c r="B55" s="42" t="s">
        <v>521</v>
      </c>
      <c r="C55" s="42">
        <v>44.0</v>
      </c>
      <c r="E55" s="33" t="str">
        <f>VLOOKUP(C55,'Talent Node'!A:E,2,FALSE)</f>
        <v>All-Conquering</v>
      </c>
    </row>
    <row r="56">
      <c r="A56" s="42">
        <v>4.1</v>
      </c>
      <c r="B56" s="42" t="s">
        <v>521</v>
      </c>
      <c r="C56" s="42">
        <v>58.0</v>
      </c>
      <c r="E56" s="33" t="str">
        <f>VLOOKUP(C56,'Talent Node'!A:E,2,FALSE)</f>
        <v>Invincible</v>
      </c>
    </row>
    <row r="57">
      <c r="A57" s="42">
        <v>4.2</v>
      </c>
      <c r="B57" s="42" t="s">
        <v>521</v>
      </c>
      <c r="C57" s="42">
        <v>59.0</v>
      </c>
      <c r="E57" s="33" t="str">
        <f>VLOOKUP(C57,'Talent Node'!A:E,2,FALSE)</f>
        <v>Whirlwind</v>
      </c>
    </row>
    <row r="58">
      <c r="A58" s="42">
        <v>5.1</v>
      </c>
      <c r="B58" s="42" t="s">
        <v>521</v>
      </c>
      <c r="C58" s="42">
        <v>48.0</v>
      </c>
      <c r="E58" s="33" t="str">
        <f>VLOOKUP(C58,'Talent Node'!A:E,2,FALSE)</f>
        <v>Initial Intuition</v>
      </c>
    </row>
    <row r="59">
      <c r="A59" s="42">
        <v>5.2</v>
      </c>
      <c r="B59" s="42" t="s">
        <v>521</v>
      </c>
      <c r="C59" s="42">
        <v>47.0</v>
      </c>
      <c r="E59" s="33" t="str">
        <f>VLOOKUP(C59,'Talent Node'!A:E,2,FALSE)</f>
        <v>Cool Under Pressure</v>
      </c>
    </row>
    <row r="60">
      <c r="A60" s="42">
        <v>5.3</v>
      </c>
      <c r="B60" s="42" t="s">
        <v>521</v>
      </c>
      <c r="C60" s="42">
        <v>46.0</v>
      </c>
      <c r="E60" s="33" t="str">
        <f>VLOOKUP(C60,'Talent Node'!A:E,2,FALSE)</f>
        <v>Irrepressible</v>
      </c>
    </row>
    <row r="61">
      <c r="A61" s="42">
        <v>6.1</v>
      </c>
      <c r="B61" s="42" t="s">
        <v>521</v>
      </c>
      <c r="C61" s="42">
        <v>50.0</v>
      </c>
      <c r="E61" s="33" t="str">
        <f>VLOOKUP(C61,'Talent Node'!A:E,2,FALSE)</f>
        <v>Intrepid</v>
      </c>
    </row>
    <row r="62">
      <c r="A62" s="42">
        <v>6.2</v>
      </c>
      <c r="B62" s="42" t="s">
        <v>521</v>
      </c>
      <c r="C62" s="42">
        <v>11.0</v>
      </c>
      <c r="E62" s="33" t="str">
        <f>VLOOKUP(C62,'Talent Node'!A:E,2,FALSE)</f>
        <v>Head Held High</v>
      </c>
    </row>
    <row r="63">
      <c r="A63" s="42">
        <v>6.3</v>
      </c>
      <c r="B63" s="42" t="s">
        <v>521</v>
      </c>
      <c r="C63" s="42">
        <v>49.0</v>
      </c>
      <c r="E63" s="33" t="str">
        <f>VLOOKUP(C63,'Talent Node'!A:E,2,FALSE)</f>
        <v>Suppression</v>
      </c>
    </row>
    <row r="64">
      <c r="A64" s="42">
        <v>7.1</v>
      </c>
      <c r="B64" s="42" t="s">
        <v>521</v>
      </c>
      <c r="C64" s="42">
        <v>53.0</v>
      </c>
      <c r="D64" s="42">
        <v>6.1</v>
      </c>
      <c r="E64" s="33" t="str">
        <f>VLOOKUP(C64,'Talent Node'!A:E,2,FALSE)</f>
        <v>Unstoppable</v>
      </c>
    </row>
    <row r="65">
      <c r="A65" s="42">
        <v>7.2</v>
      </c>
      <c r="B65" s="42" t="s">
        <v>521</v>
      </c>
      <c r="C65" s="42">
        <v>52.0</v>
      </c>
      <c r="D65" s="42">
        <v>6.2</v>
      </c>
      <c r="E65" s="33" t="str">
        <f>VLOOKUP(C65,'Talent Node'!A:E,2,FALSE)</f>
        <v>Force of Will</v>
      </c>
    </row>
    <row r="66">
      <c r="A66" s="42">
        <v>7.3</v>
      </c>
      <c r="B66" s="42" t="s">
        <v>521</v>
      </c>
      <c r="C66" s="42">
        <v>51.0</v>
      </c>
      <c r="E66" s="33" t="str">
        <f>VLOOKUP(C66,'Talent Node'!A:E,2,FALSE)</f>
        <v>Dedication</v>
      </c>
    </row>
    <row r="67">
      <c r="A67" s="42">
        <v>8.1</v>
      </c>
      <c r="B67" s="42" t="s">
        <v>521</v>
      </c>
      <c r="C67" s="42">
        <v>55.0</v>
      </c>
      <c r="E67" s="33" t="str">
        <f>VLOOKUP(C67,'Talent Node'!A:E,2,FALSE)</f>
        <v>Mark of War</v>
      </c>
    </row>
    <row r="68">
      <c r="A68" s="42">
        <v>8.2</v>
      </c>
      <c r="B68" s="42" t="s">
        <v>521</v>
      </c>
      <c r="C68" s="42">
        <v>54.0</v>
      </c>
      <c r="E68" s="33" t="str">
        <f>VLOOKUP(C68,'Talent Node'!A:E,2,FALSE)</f>
        <v>Mighty Slash</v>
      </c>
    </row>
    <row r="69">
      <c r="A69" s="42">
        <v>1.1</v>
      </c>
      <c r="B69" s="42" t="s">
        <v>193</v>
      </c>
      <c r="C69" s="42">
        <v>100.0</v>
      </c>
      <c r="E69" s="33" t="str">
        <f>VLOOKUP(C69,'Talent Node'!A:E,2,FALSE)</f>
        <v>Magic HP</v>
      </c>
    </row>
    <row r="70">
      <c r="A70" s="42">
        <v>2.1</v>
      </c>
      <c r="B70" s="42" t="s">
        <v>193</v>
      </c>
      <c r="C70" s="42">
        <v>61.0</v>
      </c>
      <c r="E70" s="33" t="str">
        <f>VLOOKUP(C70,'Talent Node'!A:E,2,FALSE)</f>
        <v>Magic Speed</v>
      </c>
    </row>
    <row r="71">
      <c r="A71" s="42">
        <v>2.2</v>
      </c>
      <c r="B71" s="42" t="s">
        <v>193</v>
      </c>
      <c r="C71" s="42">
        <v>60.0</v>
      </c>
      <c r="E71" s="33" t="str">
        <f>VLOOKUP(C71,'Talent Node'!A:E,2,FALSE)</f>
        <v>Foresight</v>
      </c>
    </row>
    <row r="72">
      <c r="A72" s="42">
        <v>2.3</v>
      </c>
      <c r="B72" s="42" t="s">
        <v>193</v>
      </c>
      <c r="C72" s="42">
        <v>14.0</v>
      </c>
      <c r="E72" s="33" t="str">
        <f>VLOOKUP(C72,'Talent Node'!A:E,2,FALSE)</f>
        <v>Fully Loaded</v>
      </c>
    </row>
    <row r="73">
      <c r="A73" s="42">
        <v>3.1</v>
      </c>
      <c r="B73" s="42" t="s">
        <v>193</v>
      </c>
      <c r="C73" s="42">
        <v>62.0</v>
      </c>
      <c r="E73" s="33" t="str">
        <f>VLOOKUP(C73,'Talent Node'!A:E,2,FALSE)</f>
        <v>Magic ATK</v>
      </c>
    </row>
    <row r="74">
      <c r="A74" s="42">
        <v>3.2</v>
      </c>
      <c r="B74" s="42" t="s">
        <v>193</v>
      </c>
      <c r="C74" s="42">
        <v>16.0</v>
      </c>
      <c r="E74" s="33" t="str">
        <f>VLOOKUP(C74,'Talent Node'!A:E,2,FALSE)</f>
        <v>Intimidation</v>
      </c>
    </row>
    <row r="75">
      <c r="A75" s="42">
        <v>3.3</v>
      </c>
      <c r="B75" s="42" t="s">
        <v>193</v>
      </c>
      <c r="C75" s="42">
        <v>44.0</v>
      </c>
      <c r="E75" s="33" t="str">
        <f>VLOOKUP(C75,'Talent Node'!A:E,2,FALSE)</f>
        <v>All-Conquering</v>
      </c>
    </row>
    <row r="76">
      <c r="A76" s="42">
        <v>4.1</v>
      </c>
      <c r="B76" s="42" t="s">
        <v>193</v>
      </c>
      <c r="C76" s="42">
        <v>63.0</v>
      </c>
      <c r="E76" s="33" t="str">
        <f>VLOOKUP(C76,'Talent Node'!A:E,2,FALSE)</f>
        <v>Magic Maelstrom</v>
      </c>
    </row>
    <row r="77">
      <c r="A77" s="42">
        <v>4.2</v>
      </c>
      <c r="B77" s="42" t="s">
        <v>193</v>
      </c>
      <c r="C77" s="42">
        <v>64.0</v>
      </c>
      <c r="E77" s="33" t="str">
        <f>VLOOKUP(C77,'Talent Node'!A:E,2,FALSE)</f>
        <v>Energy Boost</v>
      </c>
    </row>
    <row r="78">
      <c r="A78" s="42">
        <v>5.1</v>
      </c>
      <c r="B78" s="42" t="s">
        <v>193</v>
      </c>
      <c r="C78" s="42">
        <v>21.0</v>
      </c>
      <c r="E78" s="33" t="str">
        <f>VLOOKUP(C78,'Talent Node'!A:E,2,FALSE)</f>
        <v>Egoism</v>
      </c>
    </row>
    <row r="79">
      <c r="A79" s="42">
        <v>5.2</v>
      </c>
      <c r="B79" s="42" t="s">
        <v>193</v>
      </c>
      <c r="C79" s="42">
        <v>66.0</v>
      </c>
      <c r="E79" s="33" t="str">
        <f>VLOOKUP(C79,'Talent Node'!A:E,2,FALSE)</f>
        <v>Infantry Countertactics</v>
      </c>
    </row>
    <row r="80">
      <c r="A80" s="42">
        <v>5.3</v>
      </c>
      <c r="B80" s="42" t="s">
        <v>193</v>
      </c>
      <c r="C80" s="42">
        <v>65.0</v>
      </c>
      <c r="E80" s="33" t="str">
        <f>VLOOKUP(C80,'Talent Node'!A:E,2,FALSE)</f>
        <v>Orb of Protection</v>
      </c>
    </row>
    <row r="81">
      <c r="A81" s="42">
        <v>6.1</v>
      </c>
      <c r="B81" s="42" t="s">
        <v>193</v>
      </c>
      <c r="C81" s="42">
        <v>69.0</v>
      </c>
      <c r="D81" s="42">
        <v>5.1</v>
      </c>
      <c r="E81" s="33" t="str">
        <f>VLOOKUP(C81,'Talent Node'!A:E,2,FALSE)</f>
        <v>Wither</v>
      </c>
    </row>
    <row r="82">
      <c r="A82" s="42">
        <v>6.2</v>
      </c>
      <c r="B82" s="42" t="s">
        <v>193</v>
      </c>
      <c r="C82" s="42">
        <v>68.0</v>
      </c>
      <c r="E82" s="33" t="str">
        <f>VLOOKUP(C82,'Talent Node'!A:E,2,FALSE)</f>
        <v>Chant</v>
      </c>
    </row>
    <row r="83">
      <c r="A83" s="42">
        <v>6.3</v>
      </c>
      <c r="B83" s="42" t="s">
        <v>193</v>
      </c>
      <c r="C83" s="42">
        <v>67.0</v>
      </c>
      <c r="E83" s="33" t="str">
        <f>VLOOKUP(C83,'Talent Node'!A:E,2,FALSE)</f>
        <v>Shelter of Compassion</v>
      </c>
    </row>
    <row r="84">
      <c r="A84" s="42">
        <v>7.1</v>
      </c>
      <c r="B84" s="42" t="s">
        <v>193</v>
      </c>
      <c r="C84" s="42">
        <v>72.0</v>
      </c>
      <c r="E84" s="33" t="str">
        <f>VLOOKUP(C84,'Talent Node'!A:E,2,FALSE)</f>
        <v>Bolt from the Blue</v>
      </c>
    </row>
    <row r="85">
      <c r="A85" s="42">
        <v>7.2</v>
      </c>
      <c r="B85" s="42" t="s">
        <v>193</v>
      </c>
      <c r="C85" s="42">
        <v>71.0</v>
      </c>
      <c r="E85" s="33" t="str">
        <f>VLOOKUP(C85,'Talent Node'!A:E,2,FALSE)</f>
        <v>Insult to Injury</v>
      </c>
    </row>
    <row r="86">
      <c r="A86" s="42">
        <v>7.3</v>
      </c>
      <c r="B86" s="42" t="s">
        <v>193</v>
      </c>
      <c r="C86" s="42">
        <v>70.0</v>
      </c>
      <c r="E86" s="33" t="str">
        <f>VLOOKUP(C86,'Talent Node'!A:E,2,FALSE)</f>
        <v>Cry Havoc</v>
      </c>
    </row>
    <row r="87">
      <c r="A87" s="42">
        <v>8.1</v>
      </c>
      <c r="B87" s="42" t="s">
        <v>193</v>
      </c>
      <c r="C87" s="42">
        <v>74.0</v>
      </c>
      <c r="E87" s="33" t="str">
        <f>VLOOKUP(C87,'Talent Node'!A:E,2,FALSE)</f>
        <v>Elemental Boost</v>
      </c>
    </row>
    <row r="88">
      <c r="A88" s="42">
        <v>8.2</v>
      </c>
      <c r="B88" s="42" t="s">
        <v>193</v>
      </c>
      <c r="C88" s="42">
        <v>73.0</v>
      </c>
      <c r="E88" s="33" t="str">
        <f>VLOOKUP(C88,'Talent Node'!A:E,2,FALSE)</f>
        <v>Iconoclasm</v>
      </c>
    </row>
    <row r="89">
      <c r="A89" s="42">
        <v>1.1</v>
      </c>
      <c r="B89" s="42" t="s">
        <v>180</v>
      </c>
      <c r="C89" s="42">
        <v>6.0</v>
      </c>
      <c r="E89" s="33" t="str">
        <f>VLOOKUP(C89,'Talent Node'!A:E,2,FALSE)</f>
        <v>Overall Attack</v>
      </c>
    </row>
    <row r="90">
      <c r="A90" s="42">
        <v>2.1</v>
      </c>
      <c r="B90" s="42" t="s">
        <v>180</v>
      </c>
      <c r="C90" s="42">
        <v>5.0</v>
      </c>
      <c r="E90" s="33" t="str">
        <f>VLOOKUP(C90,'Talent Node'!A:E,2,FALSE)</f>
        <v>Logistics Master</v>
      </c>
    </row>
    <row r="91">
      <c r="A91" s="42">
        <v>2.2</v>
      </c>
      <c r="B91" s="42" t="s">
        <v>180</v>
      </c>
      <c r="C91" s="42">
        <v>75.0</v>
      </c>
      <c r="E91" s="33" t="str">
        <f>VLOOKUP(C91,'Talent Node'!A:E,2,FALSE)</f>
        <v>Bane of Darkness</v>
      </c>
    </row>
    <row r="92">
      <c r="A92" s="42">
        <v>2.3</v>
      </c>
      <c r="B92" s="42" t="s">
        <v>180</v>
      </c>
      <c r="C92" s="42">
        <v>7.0</v>
      </c>
      <c r="E92" s="33" t="str">
        <f>VLOOKUP(C92,'Talent Node'!A:E,2,FALSE)</f>
        <v>Overall Speed</v>
      </c>
    </row>
    <row r="93">
      <c r="A93" s="42">
        <v>3.1</v>
      </c>
      <c r="B93" s="42" t="s">
        <v>180</v>
      </c>
      <c r="C93" s="42">
        <v>78.0</v>
      </c>
      <c r="E93" s="33" t="str">
        <f>VLOOKUP(C93,'Talent Node'!A:E,2,FALSE)</f>
        <v>Divine Strategy</v>
      </c>
    </row>
    <row r="94">
      <c r="A94" s="42">
        <v>3.2</v>
      </c>
      <c r="B94" s="42" t="s">
        <v>180</v>
      </c>
      <c r="C94" s="42">
        <v>77.0</v>
      </c>
      <c r="E94" s="33" t="str">
        <f>VLOOKUP(C94,'Talent Node'!A:E,2,FALSE)</f>
        <v>Fighting Spirit</v>
      </c>
    </row>
    <row r="95">
      <c r="A95" s="42">
        <v>3.3</v>
      </c>
      <c r="B95" s="42" t="s">
        <v>180</v>
      </c>
      <c r="C95" s="42">
        <v>76.0</v>
      </c>
      <c r="E95" s="33" t="str">
        <f>VLOOKUP(C95,'Talent Node'!A:E,2,FALSE)</f>
        <v>Weakness Attack</v>
      </c>
    </row>
    <row r="96">
      <c r="A96" s="42">
        <v>4.1</v>
      </c>
      <c r="B96" s="42" t="s">
        <v>180</v>
      </c>
      <c r="C96" s="42">
        <v>80.0</v>
      </c>
      <c r="E96" s="33" t="str">
        <f>VLOOKUP(C96,'Talent Node'!A:E,2,FALSE)</f>
        <v>Duet</v>
      </c>
    </row>
    <row r="97">
      <c r="A97" s="42">
        <v>4.2</v>
      </c>
      <c r="B97" s="42" t="s">
        <v>180</v>
      </c>
      <c r="C97" s="42">
        <v>79.0</v>
      </c>
      <c r="E97" s="33" t="str">
        <f>VLOOKUP(C97,'Talent Node'!A:E,2,FALSE)</f>
        <v>Steadfast Shield</v>
      </c>
    </row>
    <row r="98">
      <c r="A98" s="42">
        <v>5.1</v>
      </c>
      <c r="B98" s="42" t="s">
        <v>180</v>
      </c>
      <c r="C98" s="42">
        <v>9.0</v>
      </c>
      <c r="E98" s="33" t="str">
        <f>VLOOKUP(C98,'Talent Node'!A:E,2,FALSE)</f>
        <v>Overall Health</v>
      </c>
    </row>
    <row r="99">
      <c r="A99" s="42">
        <v>5.2</v>
      </c>
      <c r="B99" s="42" t="s">
        <v>180</v>
      </c>
      <c r="C99" s="42">
        <v>6.0</v>
      </c>
      <c r="E99" s="33" t="str">
        <f>VLOOKUP(C99,'Talent Node'!A:E,2,FALSE)</f>
        <v>Overall Attack</v>
      </c>
    </row>
    <row r="100">
      <c r="A100" s="42">
        <v>5.3</v>
      </c>
      <c r="B100" s="42" t="s">
        <v>180</v>
      </c>
      <c r="C100" s="42">
        <v>7.0</v>
      </c>
      <c r="E100" s="33" t="str">
        <f>VLOOKUP(C100,'Talent Node'!A:E,2,FALSE)</f>
        <v>Overall Speed</v>
      </c>
    </row>
    <row r="101">
      <c r="A101" s="42">
        <v>6.1</v>
      </c>
      <c r="B101" s="42" t="s">
        <v>180</v>
      </c>
      <c r="C101" s="42">
        <v>81.0</v>
      </c>
      <c r="E101" s="33" t="str">
        <f>VLOOKUP(C101,'Talent Node'!A:E,2,FALSE)</f>
        <v>Morale</v>
      </c>
    </row>
    <row r="102">
      <c r="A102" s="42">
        <v>6.2</v>
      </c>
      <c r="B102" s="42" t="s">
        <v>180</v>
      </c>
      <c r="C102" s="42">
        <v>82.0</v>
      </c>
      <c r="E102" s="33" t="str">
        <f>VLOOKUP(C102,'Talent Node'!A:E,2,FALSE)</f>
        <v>Feint</v>
      </c>
    </row>
    <row r="103">
      <c r="A103" s="42">
        <v>6.3</v>
      </c>
      <c r="B103" s="42" t="s">
        <v>180</v>
      </c>
      <c r="C103" s="42">
        <v>83.0</v>
      </c>
      <c r="E103" s="33" t="str">
        <f>VLOOKUP(C103,'Talent Node'!A:E,2,FALSE)</f>
        <v>Agility</v>
      </c>
    </row>
    <row r="104">
      <c r="A104" s="42">
        <v>7.1</v>
      </c>
      <c r="B104" s="42" t="s">
        <v>180</v>
      </c>
      <c r="C104" s="42">
        <v>85.0</v>
      </c>
      <c r="E104" s="33" t="str">
        <f>VLOOKUP(C104,'Talent Node'!A:E,2,FALSE)</f>
        <v>Predestination</v>
      </c>
    </row>
    <row r="105">
      <c r="A105" s="42">
        <v>7.2</v>
      </c>
      <c r="B105" s="42" t="s">
        <v>180</v>
      </c>
      <c r="C105" s="42">
        <v>75.0</v>
      </c>
      <c r="E105" s="33" t="str">
        <f>VLOOKUP(C105,'Talent Node'!A:E,2,FALSE)</f>
        <v>Bane of Darkness</v>
      </c>
    </row>
    <row r="106">
      <c r="A106" s="42">
        <v>7.3</v>
      </c>
      <c r="B106" s="42" t="s">
        <v>180</v>
      </c>
      <c r="C106" s="42">
        <v>84.0</v>
      </c>
      <c r="E106" s="33" t="str">
        <f>VLOOKUP(C106,'Talent Node'!A:E,2,FALSE)</f>
        <v>Prepared</v>
      </c>
    </row>
    <row r="107">
      <c r="A107" s="42">
        <v>8.1</v>
      </c>
      <c r="B107" s="42" t="s">
        <v>180</v>
      </c>
      <c r="C107" s="42">
        <v>87.0</v>
      </c>
      <c r="E107" s="33" t="str">
        <f>VLOOKUP(C107,'Talent Node'!A:E,2,FALSE)</f>
        <v>Sunbather</v>
      </c>
    </row>
    <row r="108">
      <c r="A108" s="42">
        <v>8.2</v>
      </c>
      <c r="B108" s="42" t="s">
        <v>180</v>
      </c>
      <c r="C108" s="42">
        <v>86.0</v>
      </c>
      <c r="E108" s="33" t="str">
        <f>VLOOKUP(C108,'Talent Node'!A:E,2,FALSE)</f>
        <v>War Trophy</v>
      </c>
    </row>
    <row r="109">
      <c r="A109" s="42">
        <v>0.0</v>
      </c>
      <c r="B109" s="42" t="s">
        <v>522</v>
      </c>
      <c r="C109" s="42">
        <v>101.0</v>
      </c>
      <c r="E109" s="33" t="str">
        <f>VLOOKUP(C109,'Talent Node'!A:E,2,FALSE)</f>
        <v>Mighty Power</v>
      </c>
    </row>
    <row r="110">
      <c r="A110" s="42">
        <v>1.1</v>
      </c>
      <c r="B110" s="42" t="s">
        <v>522</v>
      </c>
      <c r="C110" s="42">
        <v>6.0</v>
      </c>
      <c r="E110" s="33" t="str">
        <f>VLOOKUP(C110,'Talent Node'!A:E,2,FALSE)</f>
        <v>Overall Attack</v>
      </c>
    </row>
    <row r="111">
      <c r="A111" s="42">
        <v>2.1</v>
      </c>
      <c r="B111" s="42" t="s">
        <v>522</v>
      </c>
      <c r="C111" s="42">
        <v>9.0</v>
      </c>
      <c r="E111" s="33" t="str">
        <f>VLOOKUP(C111,'Talent Node'!A:E,2,FALSE)</f>
        <v>Overall Health</v>
      </c>
    </row>
    <row r="112">
      <c r="A112" s="42">
        <v>2.2</v>
      </c>
      <c r="B112" s="42" t="s">
        <v>522</v>
      </c>
      <c r="C112" s="42">
        <v>16.0</v>
      </c>
      <c r="E112" s="33" t="str">
        <f>VLOOKUP(C112,'Talent Node'!A:E,2,FALSE)</f>
        <v>Intimidation</v>
      </c>
    </row>
    <row r="113">
      <c r="A113" s="42">
        <v>2.3</v>
      </c>
      <c r="B113" s="42" t="s">
        <v>522</v>
      </c>
      <c r="C113" s="42">
        <v>88.0</v>
      </c>
      <c r="E113" s="33" t="str">
        <f>VLOOKUP(C113,'Talent Node'!A:E,2,FALSE)</f>
        <v>Swift Analysis</v>
      </c>
    </row>
    <row r="114">
      <c r="A114" s="42">
        <v>3.1</v>
      </c>
      <c r="B114" s="42" t="s">
        <v>522</v>
      </c>
      <c r="C114" s="42">
        <v>11.0</v>
      </c>
      <c r="E114" s="33" t="str">
        <f>VLOOKUP(C114,'Talent Node'!A:E,2,FALSE)</f>
        <v>Head Held High</v>
      </c>
    </row>
    <row r="115">
      <c r="A115" s="42">
        <v>3.2</v>
      </c>
      <c r="B115" s="42" t="s">
        <v>522</v>
      </c>
      <c r="C115" s="42">
        <v>35.0</v>
      </c>
      <c r="E115" s="33" t="str">
        <f>VLOOKUP(C115,'Talent Node'!A:E,2,FALSE)</f>
        <v>Last Word</v>
      </c>
    </row>
    <row r="116">
      <c r="A116" s="42">
        <v>3.3</v>
      </c>
      <c r="B116" s="42" t="s">
        <v>522</v>
      </c>
      <c r="C116" s="42">
        <v>44.0</v>
      </c>
      <c r="E116" s="33" t="str">
        <f>VLOOKUP(C116,'Talent Node'!A:E,2,FALSE)</f>
        <v>All-Conquering</v>
      </c>
    </row>
    <row r="117">
      <c r="A117" s="42">
        <v>4.1</v>
      </c>
      <c r="B117" s="42" t="s">
        <v>522</v>
      </c>
      <c r="C117" s="42">
        <v>90.0</v>
      </c>
      <c r="E117" s="33" t="str">
        <f>VLOOKUP(C117,'Talent Node'!A:E,2,FALSE)</f>
        <v>Spirit of Rage</v>
      </c>
    </row>
    <row r="118">
      <c r="A118" s="42">
        <v>4.2</v>
      </c>
      <c r="B118" s="42" t="s">
        <v>522</v>
      </c>
      <c r="C118" s="42">
        <v>89.0</v>
      </c>
      <c r="E118" s="33" t="str">
        <f>VLOOKUP(C118,'Talent Node'!A:E,2,FALSE)</f>
        <v>Boiling Blood</v>
      </c>
    </row>
    <row r="119">
      <c r="A119" s="42">
        <v>5.1</v>
      </c>
      <c r="B119" s="42" t="s">
        <v>522</v>
      </c>
      <c r="C119" s="42">
        <v>91.0</v>
      </c>
      <c r="E119" s="33" t="str">
        <f>VLOOKUP(C119,'Talent Node'!A:E,2,FALSE)</f>
        <v>Detached</v>
      </c>
    </row>
    <row r="120">
      <c r="A120" s="42">
        <v>5.2</v>
      </c>
      <c r="B120" s="42" t="s">
        <v>522</v>
      </c>
      <c r="C120" s="42">
        <v>92.0</v>
      </c>
      <c r="E120" s="33" t="str">
        <f>VLOOKUP(C120,'Talent Node'!A:E,2,FALSE)</f>
        <v>Concentration</v>
      </c>
    </row>
    <row r="121">
      <c r="A121" s="42">
        <v>5.3</v>
      </c>
      <c r="B121" s="42" t="s">
        <v>522</v>
      </c>
      <c r="C121" s="42">
        <v>102.0</v>
      </c>
      <c r="E121" s="33" t="str">
        <f>VLOOKUP(C121,'Talent Node'!A:E,2,FALSE)</f>
        <v>Unquenchable Will</v>
      </c>
    </row>
    <row r="122">
      <c r="A122" s="42">
        <v>6.1</v>
      </c>
      <c r="B122" s="42" t="s">
        <v>522</v>
      </c>
      <c r="C122" s="42">
        <v>21.0</v>
      </c>
      <c r="E122" s="33" t="str">
        <f>VLOOKUP(C122,'Talent Node'!A:E,2,FALSE)</f>
        <v>Egoism</v>
      </c>
    </row>
    <row r="123">
      <c r="A123" s="42">
        <v>6.2</v>
      </c>
      <c r="B123" s="42" t="s">
        <v>522</v>
      </c>
      <c r="C123" s="42">
        <v>93.0</v>
      </c>
      <c r="E123" s="33" t="str">
        <f>VLOOKUP(C123,'Talent Node'!A:E,2,FALSE)</f>
        <v>Noble Contract</v>
      </c>
    </row>
    <row r="124">
      <c r="A124" s="42">
        <v>6.3</v>
      </c>
      <c r="B124" s="42" t="s">
        <v>522</v>
      </c>
      <c r="C124" s="42">
        <v>94.0</v>
      </c>
      <c r="E124" s="33" t="str">
        <f>VLOOKUP(C124,'Talent Node'!A:E,2,FALSE)</f>
        <v>Focus</v>
      </c>
    </row>
    <row r="125">
      <c r="A125" s="42">
        <v>7.1</v>
      </c>
      <c r="B125" s="42" t="s">
        <v>522</v>
      </c>
      <c r="C125" s="42">
        <v>95.0</v>
      </c>
      <c r="E125" s="33" t="str">
        <f>VLOOKUP(C125,'Talent Node'!A:E,2,FALSE)</f>
        <v>Encouraging Dance</v>
      </c>
    </row>
    <row r="126">
      <c r="A126" s="42">
        <v>7.2</v>
      </c>
      <c r="B126" s="42" t="s">
        <v>522</v>
      </c>
      <c r="C126" s="42">
        <v>96.0</v>
      </c>
      <c r="E126" s="33" t="str">
        <f>VLOOKUP(C126,'Talent Node'!A:E,2,FALSE)</f>
        <v>Steady Hands</v>
      </c>
    </row>
    <row r="127">
      <c r="A127" s="42">
        <v>7.3</v>
      </c>
      <c r="B127" s="42" t="s">
        <v>522</v>
      </c>
      <c r="C127" s="42">
        <v>97.0</v>
      </c>
      <c r="D127" s="42">
        <v>6.3</v>
      </c>
      <c r="E127" s="33" t="str">
        <f>VLOOKUP(C127,'Talent Node'!A:E,2,FALSE)</f>
        <v>Raging Tide</v>
      </c>
    </row>
    <row r="128">
      <c r="A128" s="42">
        <v>8.1</v>
      </c>
      <c r="B128" s="42" t="s">
        <v>522</v>
      </c>
      <c r="C128" s="42">
        <v>98.0</v>
      </c>
      <c r="E128" s="33" t="str">
        <f>VLOOKUP(C128,'Talent Node'!A:E,2,FALSE)</f>
        <v>Caged Animal</v>
      </c>
    </row>
    <row r="129">
      <c r="A129" s="42">
        <v>8.2</v>
      </c>
      <c r="B129" s="42" t="s">
        <v>522</v>
      </c>
      <c r="C129" s="42">
        <v>99.0</v>
      </c>
      <c r="E129" s="33" t="str">
        <f>VLOOKUP(C129,'Talent Node'!A:E,2,FALSE)</f>
        <v>Thirst for Blood</v>
      </c>
    </row>
    <row r="130">
      <c r="A130" s="42">
        <v>1.1</v>
      </c>
      <c r="B130" s="42" t="s">
        <v>155</v>
      </c>
      <c r="C130" s="42">
        <v>151.0</v>
      </c>
      <c r="E130" s="33" t="str">
        <f>VLOOKUP(C130,'Talent Node'!A:E,2,FALSE)</f>
        <v>Cavalry Speed</v>
      </c>
    </row>
    <row r="131">
      <c r="A131" s="42">
        <v>2.1</v>
      </c>
      <c r="B131" s="42" t="s">
        <v>155</v>
      </c>
      <c r="C131" s="42">
        <v>21.0</v>
      </c>
      <c r="E131" s="33" t="str">
        <f>VLOOKUP(C131,'Talent Node'!A:E,2,FALSE)</f>
        <v>Egoism</v>
      </c>
    </row>
    <row r="132">
      <c r="A132" s="42">
        <v>2.2</v>
      </c>
      <c r="B132" s="42" t="s">
        <v>155</v>
      </c>
      <c r="C132" s="42">
        <v>152.0</v>
      </c>
      <c r="E132" s="33" t="str">
        <f>VLOOKUP(C132,'Talent Node'!A:E,2,FALSE)</f>
        <v>Cavalry ATK</v>
      </c>
    </row>
    <row r="133">
      <c r="A133" s="42">
        <v>2.3</v>
      </c>
      <c r="B133" s="42" t="s">
        <v>155</v>
      </c>
      <c r="C133" s="42">
        <v>31.0</v>
      </c>
      <c r="E133" s="33" t="str">
        <f>VLOOKUP(C133,'Talent Node'!A:E,2,FALSE)</f>
        <v>Adrenaline Rush</v>
      </c>
    </row>
    <row r="134">
      <c r="A134" s="42">
        <v>3.1</v>
      </c>
      <c r="B134" s="42" t="s">
        <v>155</v>
      </c>
      <c r="C134" s="42">
        <v>44.0</v>
      </c>
      <c r="E134" s="33" t="str">
        <f>VLOOKUP(C134,'Talent Node'!A:E,2,FALSE)</f>
        <v>All-Conquering</v>
      </c>
    </row>
    <row r="135">
      <c r="A135" s="42">
        <v>3.2</v>
      </c>
      <c r="B135" s="42" t="s">
        <v>155</v>
      </c>
      <c r="C135" s="42">
        <v>11.0</v>
      </c>
      <c r="E135" s="33" t="str">
        <f>VLOOKUP(C135,'Talent Node'!A:E,2,FALSE)</f>
        <v>Head Held High</v>
      </c>
    </row>
    <row r="136">
      <c r="A136" s="42">
        <v>3.3</v>
      </c>
      <c r="B136" s="42" t="s">
        <v>155</v>
      </c>
      <c r="C136" s="42">
        <v>16.0</v>
      </c>
      <c r="E136" s="33" t="str">
        <f>VLOOKUP(C136,'Talent Node'!A:E,2,FALSE)</f>
        <v>Intimidation</v>
      </c>
    </row>
    <row r="137">
      <c r="A137" s="42">
        <v>4.1</v>
      </c>
      <c r="B137" s="42" t="s">
        <v>155</v>
      </c>
      <c r="C137" s="42">
        <v>154.0</v>
      </c>
      <c r="E137" s="33" t="str">
        <f>VLOOKUP(C137,'Talent Node'!A:E,2,FALSE)</f>
        <v>Steady Pace</v>
      </c>
    </row>
    <row r="138">
      <c r="A138" s="42">
        <v>4.2</v>
      </c>
      <c r="B138" s="42" t="s">
        <v>155</v>
      </c>
      <c r="C138" s="42">
        <v>153.0</v>
      </c>
      <c r="E138" s="33" t="str">
        <f>VLOOKUP(C138,'Talent Node'!A:E,2,FALSE)</f>
        <v>Perfect Ferocity</v>
      </c>
    </row>
    <row r="139">
      <c r="A139" s="42">
        <v>5.1</v>
      </c>
      <c r="B139" s="42" t="s">
        <v>155</v>
      </c>
      <c r="C139" s="42">
        <v>88.0</v>
      </c>
      <c r="E139" s="33" t="str">
        <f>VLOOKUP(C139,'Talent Node'!A:E,2,FALSE)</f>
        <v>Swift Analysis</v>
      </c>
    </row>
    <row r="140">
      <c r="A140" s="42">
        <v>5.2</v>
      </c>
      <c r="B140" s="42" t="s">
        <v>155</v>
      </c>
      <c r="C140" s="42">
        <v>155.0</v>
      </c>
      <c r="E140" s="33" t="str">
        <f>VLOOKUP(C140,'Talent Node'!A:E,2,FALSE)</f>
        <v>Marksman Countertactics</v>
      </c>
    </row>
    <row r="141">
      <c r="A141" s="42">
        <v>5.3</v>
      </c>
      <c r="B141" s="42" t="s">
        <v>155</v>
      </c>
      <c r="C141" s="42">
        <v>156.0</v>
      </c>
      <c r="E141" s="33" t="str">
        <f>VLOOKUP(C141,'Talent Node'!A:E,2,FALSE)</f>
        <v>War Zealot</v>
      </c>
    </row>
    <row r="142">
      <c r="A142" s="42">
        <v>6.1</v>
      </c>
      <c r="B142" s="42" t="s">
        <v>155</v>
      </c>
      <c r="C142" s="42">
        <v>157.0</v>
      </c>
      <c r="E142" s="33" t="str">
        <f>VLOOKUP(C142,'Talent Node'!A:E,2,FALSE)</f>
        <v>Guerrilla</v>
      </c>
    </row>
    <row r="143">
      <c r="A143" s="42">
        <v>6.2</v>
      </c>
      <c r="B143" s="42" t="s">
        <v>155</v>
      </c>
      <c r="C143" s="42">
        <v>158.0</v>
      </c>
      <c r="E143" s="33" t="str">
        <f>VLOOKUP(C143,'Talent Node'!A:E,2,FALSE)</f>
        <v>Trample</v>
      </c>
    </row>
    <row r="144">
      <c r="A144" s="42">
        <v>6.3</v>
      </c>
      <c r="B144" s="42" t="s">
        <v>155</v>
      </c>
      <c r="C144" s="42">
        <v>159.0</v>
      </c>
      <c r="E144" s="33" t="str">
        <f>VLOOKUP(C144,'Talent Node'!A:E,2,FALSE)</f>
        <v>Quick Escape</v>
      </c>
    </row>
    <row r="145">
      <c r="A145" s="42">
        <v>7.1</v>
      </c>
      <c r="B145" s="42" t="s">
        <v>155</v>
      </c>
      <c r="C145" s="42">
        <v>160.0</v>
      </c>
      <c r="E145" s="33" t="str">
        <f>VLOOKUP(C145,'Talent Node'!A:E,2,FALSE)</f>
        <v>Triumphant Return</v>
      </c>
    </row>
    <row r="146">
      <c r="A146" s="42">
        <v>7.2</v>
      </c>
      <c r="B146" s="42" t="s">
        <v>155</v>
      </c>
      <c r="C146" s="42">
        <v>161.0</v>
      </c>
      <c r="D146" s="42">
        <v>6.2</v>
      </c>
      <c r="E146" s="33" t="str">
        <f>VLOOKUP(C146,'Talent Node'!A:E,2,FALSE)</f>
        <v>Entangle</v>
      </c>
    </row>
    <row r="147">
      <c r="A147" s="42">
        <v>7.3</v>
      </c>
      <c r="B147" s="42" t="s">
        <v>155</v>
      </c>
      <c r="C147" s="42">
        <v>162.0</v>
      </c>
      <c r="E147" s="33" t="str">
        <f>VLOOKUP(C147,'Talent Node'!A:E,2,FALSE)</f>
        <v>Pitched Battle</v>
      </c>
    </row>
    <row r="148">
      <c r="A148" s="42">
        <v>8.1</v>
      </c>
      <c r="B148" s="42" t="s">
        <v>155</v>
      </c>
      <c r="C148" s="42">
        <v>163.0</v>
      </c>
      <c r="E148" s="33" t="str">
        <f>VLOOKUP(C148,'Talent Node'!A:E,2,FALSE)</f>
        <v>Inescapable</v>
      </c>
    </row>
    <row r="149">
      <c r="A149" s="42">
        <v>8.2</v>
      </c>
      <c r="B149" s="42" t="s">
        <v>155</v>
      </c>
      <c r="C149" s="42">
        <v>164.0</v>
      </c>
      <c r="E149" s="33" t="str">
        <f>VLOOKUP(C149,'Talent Node'!A:E,2,FALSE)</f>
        <v>Blood Mark</v>
      </c>
    </row>
    <row r="150">
      <c r="A150" s="42">
        <v>1.1</v>
      </c>
      <c r="B150" s="42" t="s">
        <v>156</v>
      </c>
      <c r="C150" s="42">
        <v>6.0</v>
      </c>
      <c r="E150" s="33" t="str">
        <f>VLOOKUP(C150,'Talent Node'!A:E,2,FALSE)</f>
        <v>Overall Attack</v>
      </c>
    </row>
    <row r="151">
      <c r="A151" s="42">
        <v>2.1</v>
      </c>
      <c r="B151" s="42" t="s">
        <v>156</v>
      </c>
      <c r="C151" s="42">
        <v>165.0</v>
      </c>
      <c r="E151" s="33" t="str">
        <f>VLOOKUP(C151,'Talent Node'!A:E,2,FALSE)</f>
        <v>Rivalry</v>
      </c>
    </row>
    <row r="152">
      <c r="A152" s="42">
        <v>2.2</v>
      </c>
      <c r="B152" s="42" t="s">
        <v>156</v>
      </c>
      <c r="C152" s="42">
        <v>7.0</v>
      </c>
      <c r="E152" s="33" t="str">
        <f>VLOOKUP(C152,'Talent Node'!A:E,2,FALSE)</f>
        <v>Overall Speed</v>
      </c>
    </row>
    <row r="153">
      <c r="A153" s="42">
        <v>2.3</v>
      </c>
      <c r="B153" s="42" t="s">
        <v>156</v>
      </c>
      <c r="C153" s="42">
        <v>8.0</v>
      </c>
      <c r="E153" s="33" t="str">
        <f>VLOOKUP(C153,'Talent Node'!A:E,2,FALSE)</f>
        <v>Overall Defense</v>
      </c>
    </row>
    <row r="154">
      <c r="A154" s="42">
        <v>3.1</v>
      </c>
      <c r="B154" s="42" t="s">
        <v>156</v>
      </c>
      <c r="C154" s="42">
        <v>11.0</v>
      </c>
      <c r="E154" s="33" t="str">
        <f>VLOOKUP(C154,'Talent Node'!A:E,2,FALSE)</f>
        <v>Head Held High</v>
      </c>
    </row>
    <row r="155">
      <c r="A155" s="42">
        <v>3.2</v>
      </c>
      <c r="B155" s="42" t="s">
        <v>156</v>
      </c>
      <c r="C155" s="42">
        <v>166.0</v>
      </c>
      <c r="E155" s="33" t="str">
        <f>VLOOKUP(C155,'Talent Node'!A:E,2,FALSE)</f>
        <v>Fury Flame</v>
      </c>
    </row>
    <row r="156">
      <c r="A156" s="42">
        <v>3.3</v>
      </c>
      <c r="B156" s="42" t="s">
        <v>156</v>
      </c>
      <c r="C156" s="42">
        <v>9.0</v>
      </c>
      <c r="E156" s="33" t="str">
        <f>VLOOKUP(C156,'Talent Node'!A:E,2,FALSE)</f>
        <v>Overall Health</v>
      </c>
    </row>
    <row r="157">
      <c r="A157" s="42">
        <v>4.1</v>
      </c>
      <c r="B157" s="42" t="s">
        <v>156</v>
      </c>
      <c r="C157" s="42">
        <v>167.0</v>
      </c>
      <c r="E157" s="33" t="str">
        <f>VLOOKUP(C157,'Talent Node'!A:E,2,FALSE)</f>
        <v>Luck of the Draw</v>
      </c>
    </row>
    <row r="158">
      <c r="A158" s="42">
        <v>4.2</v>
      </c>
      <c r="B158" s="42" t="s">
        <v>156</v>
      </c>
      <c r="C158" s="42">
        <v>168.0</v>
      </c>
      <c r="E158" s="33" t="str">
        <f>VLOOKUP(C158,'Talent Node'!A:E,2,FALSE)</f>
        <v>Army of Valor</v>
      </c>
    </row>
    <row r="159">
      <c r="A159" s="42">
        <v>5.1</v>
      </c>
      <c r="B159" s="42" t="s">
        <v>156</v>
      </c>
      <c r="C159" s="42">
        <v>7.0</v>
      </c>
      <c r="E159" s="33" t="str">
        <f>VLOOKUP(C159,'Talent Node'!A:E,2,FALSE)</f>
        <v>Overall Speed</v>
      </c>
    </row>
    <row r="160">
      <c r="A160" s="42">
        <v>5.2</v>
      </c>
      <c r="B160" s="42" t="s">
        <v>156</v>
      </c>
      <c r="C160" s="42">
        <v>169.0</v>
      </c>
      <c r="E160" s="33" t="str">
        <f>VLOOKUP(C160,'Talent Node'!A:E,2,FALSE)</f>
        <v>Fearless</v>
      </c>
    </row>
    <row r="161">
      <c r="A161" s="42">
        <v>5.3</v>
      </c>
      <c r="B161" s="42" t="s">
        <v>156</v>
      </c>
      <c r="C161" s="42">
        <v>39.0</v>
      </c>
      <c r="E161" s="33" t="str">
        <f>VLOOKUP(C161,'Talent Node'!A:E,2,FALSE)</f>
        <v>War Banner</v>
      </c>
    </row>
    <row r="162">
      <c r="A162" s="42">
        <v>6.1</v>
      </c>
      <c r="B162" s="42" t="s">
        <v>156</v>
      </c>
      <c r="C162" s="42">
        <v>170.0</v>
      </c>
      <c r="E162" s="33" t="str">
        <f>VLOOKUP(C162,'Talent Node'!A:E,2,FALSE)</f>
        <v>Slow and Steady</v>
      </c>
    </row>
    <row r="163">
      <c r="A163" s="42">
        <v>6.2</v>
      </c>
      <c r="B163" s="42" t="s">
        <v>156</v>
      </c>
      <c r="C163" s="42">
        <v>171.0</v>
      </c>
      <c r="E163" s="33" t="str">
        <f>VLOOKUP(C163,'Talent Node'!A:E,2,FALSE)</f>
        <v>Avoidance</v>
      </c>
    </row>
    <row r="164">
      <c r="A164" s="42">
        <v>6.3</v>
      </c>
      <c r="B164" s="42" t="s">
        <v>156</v>
      </c>
      <c r="C164" s="42">
        <v>172.0</v>
      </c>
      <c r="E164" s="33" t="str">
        <f>VLOOKUP(C164,'Talent Node'!A:E,2,FALSE)</f>
        <v>Strength to Strength</v>
      </c>
    </row>
    <row r="165">
      <c r="A165" s="42">
        <v>7.1</v>
      </c>
      <c r="B165" s="42" t="s">
        <v>156</v>
      </c>
      <c r="C165" s="42">
        <v>173.0</v>
      </c>
      <c r="E165" s="33" t="str">
        <f>VLOOKUP(C165,'Talent Node'!A:E,2,FALSE)</f>
        <v>Rest and Repose</v>
      </c>
    </row>
    <row r="166">
      <c r="A166" s="42">
        <v>7.2</v>
      </c>
      <c r="B166" s="42" t="s">
        <v>156</v>
      </c>
      <c r="C166" s="42">
        <v>174.0</v>
      </c>
      <c r="D166" s="42">
        <v>6.2</v>
      </c>
      <c r="E166" s="33" t="str">
        <f>VLOOKUP(C166,'Talent Node'!A:E,2,FALSE)</f>
        <v>Charge Ahead</v>
      </c>
    </row>
    <row r="167">
      <c r="A167" s="42">
        <v>7.3</v>
      </c>
      <c r="B167" s="42" t="s">
        <v>156</v>
      </c>
      <c r="C167" s="42">
        <v>175.0</v>
      </c>
      <c r="E167" s="33" t="str">
        <f>VLOOKUP(C167,'Talent Node'!A:E,2,FALSE)</f>
        <v>Stubborn Fighter</v>
      </c>
    </row>
    <row r="168">
      <c r="A168" s="42">
        <v>8.1</v>
      </c>
      <c r="B168" s="42" t="s">
        <v>156</v>
      </c>
      <c r="C168" s="42">
        <v>176.0</v>
      </c>
      <c r="E168" s="33" t="str">
        <f>VLOOKUP(C168,'Talent Node'!A:E,2,FALSE)</f>
        <v>Breach Blade</v>
      </c>
    </row>
    <row r="169">
      <c r="A169" s="42">
        <v>8.2</v>
      </c>
      <c r="B169" s="42" t="s">
        <v>156</v>
      </c>
      <c r="C169" s="42">
        <v>177.0</v>
      </c>
      <c r="E169" s="33" t="str">
        <f>VLOOKUP(C169,'Talent Node'!A:E,2,FALSE)</f>
        <v>Blessing of Fury</v>
      </c>
    </row>
    <row r="170">
      <c r="A170" s="42">
        <v>0.0</v>
      </c>
      <c r="B170" s="42" t="s">
        <v>227</v>
      </c>
      <c r="C170" s="42">
        <v>190.0</v>
      </c>
      <c r="E170" s="33" t="str">
        <f>VLOOKUP(C170,'Talent Node'!A:E,2,FALSE)</f>
        <v>Backstabber</v>
      </c>
    </row>
    <row r="171">
      <c r="A171" s="42">
        <v>1.1</v>
      </c>
      <c r="B171" s="42" t="s">
        <v>227</v>
      </c>
      <c r="C171" s="42">
        <v>7.0</v>
      </c>
      <c r="E171" s="33" t="str">
        <f>VLOOKUP(C171,'Talent Node'!A:E,2,FALSE)</f>
        <v>Overall Speed</v>
      </c>
    </row>
    <row r="172">
      <c r="A172" s="42">
        <v>2.1</v>
      </c>
      <c r="B172" s="42" t="s">
        <v>227</v>
      </c>
      <c r="C172" s="42">
        <v>44.0</v>
      </c>
      <c r="E172" s="33" t="str">
        <f>VLOOKUP(C172,'Talent Node'!A:E,2,FALSE)</f>
        <v>All-Conquering</v>
      </c>
    </row>
    <row r="173">
      <c r="A173" s="42">
        <v>2.2</v>
      </c>
      <c r="B173" s="42" t="s">
        <v>227</v>
      </c>
      <c r="C173" s="42">
        <v>6.0</v>
      </c>
      <c r="E173" s="33" t="str">
        <f>VLOOKUP(C173,'Talent Node'!A:E,2,FALSE)</f>
        <v>Overall Attack</v>
      </c>
    </row>
    <row r="174">
      <c r="A174" s="42">
        <v>2.3</v>
      </c>
      <c r="B174" s="42" t="s">
        <v>227</v>
      </c>
      <c r="C174" s="42">
        <v>35.0</v>
      </c>
      <c r="E174" s="33" t="str">
        <f>VLOOKUP(C174,'Talent Node'!A:E,2,FALSE)</f>
        <v>Last Word</v>
      </c>
    </row>
    <row r="175">
      <c r="A175" s="42">
        <v>3.1</v>
      </c>
      <c r="B175" s="42" t="s">
        <v>227</v>
      </c>
      <c r="C175" s="42">
        <v>11.0</v>
      </c>
      <c r="E175" s="33" t="str">
        <f>VLOOKUP(C175,'Talent Node'!A:E,2,FALSE)</f>
        <v>Head Held High</v>
      </c>
    </row>
    <row r="176">
      <c r="A176" s="42">
        <v>3.2</v>
      </c>
      <c r="B176" s="42" t="s">
        <v>227</v>
      </c>
      <c r="C176" s="42">
        <v>21.0</v>
      </c>
      <c r="E176" s="33" t="str">
        <f>VLOOKUP(C176,'Talent Node'!A:E,2,FALSE)</f>
        <v>Egoism</v>
      </c>
    </row>
    <row r="177">
      <c r="A177" s="42">
        <v>3.3</v>
      </c>
      <c r="B177" s="42" t="s">
        <v>227</v>
      </c>
      <c r="C177" s="42">
        <v>31.0</v>
      </c>
      <c r="E177" s="33" t="str">
        <f>VLOOKUP(C177,'Talent Node'!A:E,2,FALSE)</f>
        <v>Adrenaline Rush</v>
      </c>
    </row>
    <row r="178">
      <c r="A178" s="42">
        <v>4.1</v>
      </c>
      <c r="B178" s="42" t="s">
        <v>227</v>
      </c>
      <c r="C178" s="42">
        <v>178.0</v>
      </c>
      <c r="E178" s="33" t="str">
        <f>VLOOKUP(C178,'Talent Node'!A:E,2,FALSE)</f>
        <v>Soul Siphon</v>
      </c>
    </row>
    <row r="179">
      <c r="A179" s="42">
        <v>4.2</v>
      </c>
      <c r="B179" s="42" t="s">
        <v>227</v>
      </c>
      <c r="C179" s="42">
        <v>179.0</v>
      </c>
      <c r="E179" s="33" t="str">
        <f>VLOOKUP(C179,'Talent Node'!A:E,2,FALSE)</f>
        <v>Cyclone Seal</v>
      </c>
    </row>
    <row r="180">
      <c r="A180" s="42">
        <v>5.1</v>
      </c>
      <c r="B180" s="42" t="s">
        <v>227</v>
      </c>
      <c r="C180" s="42">
        <v>180.0</v>
      </c>
      <c r="E180" s="33" t="str">
        <f>VLOOKUP(C180,'Talent Node'!A:E,2,FALSE)</f>
        <v>Blind Side</v>
      </c>
    </row>
    <row r="181">
      <c r="A181" s="42">
        <v>5.2</v>
      </c>
      <c r="B181" s="42" t="s">
        <v>227</v>
      </c>
      <c r="C181" s="42">
        <v>16.0</v>
      </c>
      <c r="E181" s="33" t="str">
        <f>VLOOKUP(C181,'Talent Node'!A:E,2,FALSE)</f>
        <v>Intimidation</v>
      </c>
    </row>
    <row r="182">
      <c r="A182" s="42">
        <v>5.3</v>
      </c>
      <c r="B182" s="42" t="s">
        <v>227</v>
      </c>
      <c r="C182" s="42">
        <v>88.0</v>
      </c>
      <c r="E182" s="33" t="str">
        <f>VLOOKUP(C182,'Talent Node'!A:E,2,FALSE)</f>
        <v>Swift Analysis</v>
      </c>
    </row>
    <row r="183">
      <c r="A183" s="42">
        <v>6.1</v>
      </c>
      <c r="B183" s="42" t="s">
        <v>227</v>
      </c>
      <c r="C183" s="42">
        <v>181.0</v>
      </c>
      <c r="E183" s="33" t="str">
        <f>VLOOKUP(C183,'Talent Node'!A:E,2,FALSE)</f>
        <v>Ambush</v>
      </c>
    </row>
    <row r="184">
      <c r="A184" s="42">
        <v>6.2</v>
      </c>
      <c r="B184" s="42" t="s">
        <v>227</v>
      </c>
      <c r="C184" s="42">
        <v>182.0</v>
      </c>
      <c r="E184" s="33" t="str">
        <f>VLOOKUP(C184,'Talent Node'!A:E,2,FALSE)</f>
        <v>Tremble</v>
      </c>
    </row>
    <row r="185">
      <c r="A185" s="42">
        <v>6.3</v>
      </c>
      <c r="B185" s="42" t="s">
        <v>227</v>
      </c>
      <c r="C185" s="42">
        <v>183.0</v>
      </c>
      <c r="E185" s="33" t="str">
        <f>VLOOKUP(C185,'Talent Node'!A:E,2,FALSE)</f>
        <v>Temper</v>
      </c>
    </row>
    <row r="186">
      <c r="A186" s="42">
        <v>7.1</v>
      </c>
      <c r="B186" s="42" t="s">
        <v>227</v>
      </c>
      <c r="C186" s="42">
        <v>184.0</v>
      </c>
      <c r="E186" s="33" t="str">
        <f>VLOOKUP(C186,'Talent Node'!A:E,2,FALSE)</f>
        <v>Sage</v>
      </c>
    </row>
    <row r="187">
      <c r="A187" s="42">
        <v>7.2</v>
      </c>
      <c r="B187" s="42" t="s">
        <v>227</v>
      </c>
      <c r="C187" s="42">
        <v>185.0</v>
      </c>
      <c r="E187" s="33" t="str">
        <f>VLOOKUP(C187,'Talent Node'!A:E,2,FALSE)</f>
        <v>Lucky Stars</v>
      </c>
    </row>
    <row r="188">
      <c r="A188" s="42">
        <v>7.3</v>
      </c>
      <c r="B188" s="42" t="s">
        <v>227</v>
      </c>
      <c r="C188" s="42">
        <v>186.0</v>
      </c>
      <c r="D188" s="42">
        <v>6.3</v>
      </c>
      <c r="E188" s="33" t="str">
        <f>VLOOKUP(C188,'Talent Node'!A:E,2,FALSE)</f>
        <v>Eye for Eye</v>
      </c>
    </row>
    <row r="189">
      <c r="A189" s="42">
        <v>8.1</v>
      </c>
      <c r="B189" s="42" t="s">
        <v>227</v>
      </c>
      <c r="C189" s="42">
        <v>187.0</v>
      </c>
      <c r="E189" s="33" t="str">
        <f>VLOOKUP(C189,'Talent Node'!A:E,2,FALSE)</f>
        <v>Autumn Rains</v>
      </c>
    </row>
    <row r="190">
      <c r="A190" s="42">
        <v>8.2</v>
      </c>
      <c r="B190" s="42" t="s">
        <v>227</v>
      </c>
      <c r="C190" s="42">
        <v>188.0</v>
      </c>
      <c r="E190" s="33" t="str">
        <f>VLOOKUP(C190,'Talent Node'!A:E,2,FALSE)</f>
        <v>Reticent</v>
      </c>
    </row>
    <row r="191">
      <c r="A191" s="42">
        <v>1.1</v>
      </c>
      <c r="B191" s="42" t="s">
        <v>166</v>
      </c>
      <c r="C191" s="42">
        <v>114.0</v>
      </c>
      <c r="E191" s="33" t="str">
        <f>VLOOKUP(C191,'Talent Node'!A:E,2,FALSE)</f>
        <v>Infantry DEF</v>
      </c>
    </row>
    <row r="192">
      <c r="A192" s="42">
        <v>2.1</v>
      </c>
      <c r="B192" s="42" t="s">
        <v>166</v>
      </c>
      <c r="C192" s="42">
        <v>16.0</v>
      </c>
      <c r="E192" s="33" t="str">
        <f>VLOOKUP(C192,'Talent Node'!A:E,2,FALSE)</f>
        <v>Intimidation</v>
      </c>
    </row>
    <row r="193">
      <c r="A193" s="42">
        <v>2.2</v>
      </c>
      <c r="B193" s="42" t="s">
        <v>166</v>
      </c>
      <c r="C193" s="42">
        <v>115.0</v>
      </c>
      <c r="E193" s="33" t="str">
        <f>VLOOKUP(C193,'Talent Node'!A:E,2,FALSE)</f>
        <v>Infantry Speed</v>
      </c>
    </row>
    <row r="194">
      <c r="A194" s="42">
        <v>2.3</v>
      </c>
      <c r="B194" s="42" t="s">
        <v>166</v>
      </c>
      <c r="C194" s="42">
        <v>21.0</v>
      </c>
      <c r="E194" s="33" t="str">
        <f>VLOOKUP(C194,'Talent Node'!A:E,2,FALSE)</f>
        <v>Egoism</v>
      </c>
    </row>
    <row r="195">
      <c r="A195" s="42">
        <v>3.1</v>
      </c>
      <c r="B195" s="42" t="s">
        <v>166</v>
      </c>
      <c r="C195" s="42">
        <v>31.0</v>
      </c>
      <c r="E195" s="33" t="str">
        <f>VLOOKUP(C195,'Talent Node'!A:E,2,FALSE)</f>
        <v>Adrenaline Rush</v>
      </c>
    </row>
    <row r="196">
      <c r="A196" s="42">
        <v>3.2</v>
      </c>
      <c r="B196" s="42" t="s">
        <v>166</v>
      </c>
      <c r="C196" s="42">
        <v>116.0</v>
      </c>
      <c r="E196" s="33" t="str">
        <f>VLOOKUP(C196,'Talent Node'!A:E,2,FALSE)</f>
        <v>Assassins in Waiting</v>
      </c>
    </row>
    <row r="197">
      <c r="A197" s="42">
        <v>3.3</v>
      </c>
      <c r="B197" s="42" t="s">
        <v>166</v>
      </c>
      <c r="C197" s="42">
        <v>117.0</v>
      </c>
      <c r="E197" s="33" t="str">
        <f>VLOOKUP(C197,'Talent Node'!A:E,2,FALSE)</f>
        <v>Heaven's Blessings</v>
      </c>
    </row>
    <row r="198">
      <c r="A198" s="42">
        <v>4.1</v>
      </c>
      <c r="B198" s="42" t="s">
        <v>166</v>
      </c>
      <c r="C198" s="42">
        <v>118.0</v>
      </c>
      <c r="E198" s="33" t="str">
        <f>VLOOKUP(C198,'Talent Node'!A:E,2,FALSE)</f>
        <v>Cool-Headed</v>
      </c>
    </row>
    <row r="199">
      <c r="A199" s="42">
        <v>4.2</v>
      </c>
      <c r="B199" s="42" t="s">
        <v>166</v>
      </c>
      <c r="C199" s="42">
        <v>119.0</v>
      </c>
      <c r="E199" s="33" t="str">
        <f>VLOOKUP(C199,'Talent Node'!A:E,2,FALSE)</f>
        <v>Furious</v>
      </c>
    </row>
    <row r="200">
      <c r="A200" s="42">
        <v>5.1</v>
      </c>
      <c r="B200" s="42" t="s">
        <v>166</v>
      </c>
      <c r="C200" s="42">
        <v>120.0</v>
      </c>
      <c r="E200" s="33" t="str">
        <f>VLOOKUP(C200,'Talent Node'!A:E,2,FALSE)</f>
        <v>Close Quarters Combat</v>
      </c>
    </row>
    <row r="201">
      <c r="A201" s="42">
        <v>5.2</v>
      </c>
      <c r="B201" s="42" t="s">
        <v>166</v>
      </c>
      <c r="C201" s="42">
        <v>121.0</v>
      </c>
      <c r="E201" s="33" t="str">
        <f>VLOOKUP(C201,'Talent Node'!A:E,2,FALSE)</f>
        <v>Cavalry Countertactics</v>
      </c>
    </row>
    <row r="202">
      <c r="A202" s="42">
        <v>5.3</v>
      </c>
      <c r="B202" s="42" t="s">
        <v>166</v>
      </c>
      <c r="C202" s="42">
        <v>44.0</v>
      </c>
      <c r="E202" s="33" t="str">
        <f>VLOOKUP(C202,'Talent Node'!A:E,2,FALSE)</f>
        <v>All-Conquering</v>
      </c>
    </row>
    <row r="203">
      <c r="A203" s="42">
        <v>6.1</v>
      </c>
      <c r="B203" s="42" t="s">
        <v>166</v>
      </c>
      <c r="C203" s="42">
        <v>35.0</v>
      </c>
      <c r="E203" s="33" t="str">
        <f>VLOOKUP(C203,'Talent Node'!A:E,2,FALSE)</f>
        <v>Last Word</v>
      </c>
    </row>
    <row r="204">
      <c r="A204" s="42">
        <v>6.2</v>
      </c>
      <c r="B204" s="42" t="s">
        <v>166</v>
      </c>
      <c r="C204" s="42">
        <v>122.0</v>
      </c>
      <c r="E204" s="33" t="str">
        <f>VLOOKUP(C204,'Talent Node'!A:E,2,FALSE)</f>
        <v>Rectification</v>
      </c>
    </row>
    <row r="205">
      <c r="A205" s="42">
        <v>6.3</v>
      </c>
      <c r="B205" s="42" t="s">
        <v>166</v>
      </c>
      <c r="C205" s="42">
        <v>123.0</v>
      </c>
      <c r="E205" s="33" t="str">
        <f>VLOOKUP(C205,'Talent Node'!A:E,2,FALSE)</f>
        <v>Generalist</v>
      </c>
    </row>
    <row r="206">
      <c r="A206" s="42">
        <v>7.1</v>
      </c>
      <c r="B206" s="42" t="s">
        <v>166</v>
      </c>
      <c r="C206" s="42">
        <v>124.0</v>
      </c>
      <c r="E206" s="33" t="str">
        <f>VLOOKUP(C206,'Talent Node'!A:E,2,FALSE)</f>
        <v>Solid Shield</v>
      </c>
    </row>
    <row r="207">
      <c r="A207" s="42">
        <v>7.2</v>
      </c>
      <c r="B207" s="42" t="s">
        <v>166</v>
      </c>
      <c r="C207" s="42">
        <v>38.0</v>
      </c>
      <c r="E207" s="33" t="str">
        <f>VLOOKUP(C207,'Talent Node'!A:E,2,FALSE)</f>
        <v>Flank Protection</v>
      </c>
    </row>
    <row r="208">
      <c r="A208" s="42">
        <v>7.3</v>
      </c>
      <c r="B208" s="42" t="s">
        <v>166</v>
      </c>
      <c r="C208" s="42">
        <v>95.0</v>
      </c>
      <c r="E208" s="33" t="str">
        <f>VLOOKUP(C208,'Talent Node'!A:E,2,FALSE)</f>
        <v>Encouraging Dance</v>
      </c>
    </row>
    <row r="209">
      <c r="A209" s="42">
        <v>8.1</v>
      </c>
      <c r="B209" s="42" t="s">
        <v>166</v>
      </c>
      <c r="C209" s="42">
        <v>125.0</v>
      </c>
      <c r="E209" s="33" t="str">
        <f>VLOOKUP(C209,'Talent Node'!A:E,2,FALSE)</f>
        <v>Iron Will</v>
      </c>
    </row>
    <row r="210">
      <c r="A210" s="42">
        <v>8.2</v>
      </c>
      <c r="B210" s="42" t="s">
        <v>166</v>
      </c>
      <c r="C210" s="42">
        <v>126.0</v>
      </c>
      <c r="E210" s="33" t="str">
        <f>VLOOKUP(C210,'Talent Node'!A:E,2,FALSE)</f>
        <v>Ready for Battle</v>
      </c>
    </row>
    <row r="211">
      <c r="A211" s="42">
        <v>1.1</v>
      </c>
      <c r="B211" s="42" t="s">
        <v>237</v>
      </c>
      <c r="C211" s="42">
        <v>9.0</v>
      </c>
      <c r="E211" s="33" t="str">
        <f>VLOOKUP(C211,'Talent Node'!A:E,2,FALSE)</f>
        <v>Overall Health</v>
      </c>
    </row>
    <row r="212">
      <c r="A212" s="42">
        <v>2.1</v>
      </c>
      <c r="B212" s="42" t="s">
        <v>237</v>
      </c>
      <c r="C212" s="42">
        <v>8.0</v>
      </c>
      <c r="E212" s="33" t="str">
        <f>VLOOKUP(C212,'Talent Node'!A:E,2,FALSE)</f>
        <v>Overall Defense</v>
      </c>
    </row>
    <row r="213">
      <c r="A213" s="42">
        <v>2.2</v>
      </c>
      <c r="B213" s="42" t="s">
        <v>237</v>
      </c>
      <c r="C213" s="42">
        <v>6.0</v>
      </c>
      <c r="E213" s="33" t="str">
        <f>VLOOKUP(C213,'Talent Node'!A:E,2,FALSE)</f>
        <v>Overall Attack</v>
      </c>
    </row>
    <row r="214">
      <c r="A214" s="42">
        <v>2.3</v>
      </c>
      <c r="B214" s="42" t="s">
        <v>237</v>
      </c>
      <c r="C214" s="42">
        <v>7.0</v>
      </c>
      <c r="E214" s="33" t="str">
        <f>VLOOKUP(C214,'Talent Node'!A:E,2,FALSE)</f>
        <v>Overall Speed</v>
      </c>
    </row>
    <row r="215">
      <c r="A215" s="42">
        <v>3.1</v>
      </c>
      <c r="B215" s="42" t="s">
        <v>237</v>
      </c>
      <c r="C215" s="42">
        <v>127.0</v>
      </c>
      <c r="E215" s="33" t="str">
        <f>VLOOKUP(C215,'Talent Node'!A:E,2,FALSE)</f>
        <v>Garrison Riposte</v>
      </c>
    </row>
    <row r="216">
      <c r="A216" s="42">
        <v>3.2</v>
      </c>
      <c r="B216" s="42" t="s">
        <v>237</v>
      </c>
      <c r="C216" s="42">
        <v>128.0</v>
      </c>
      <c r="E216" s="33" t="str">
        <f>VLOOKUP(C216,'Talent Node'!A:E,2,FALSE)</f>
        <v>Garrison Onslaught</v>
      </c>
    </row>
    <row r="217">
      <c r="A217" s="42">
        <v>3.3</v>
      </c>
      <c r="B217" s="42" t="s">
        <v>237</v>
      </c>
      <c r="C217" s="42">
        <v>129.0</v>
      </c>
      <c r="E217" s="33" t="str">
        <f>VLOOKUP(C217,'Talent Node'!A:E,2,FALSE)</f>
        <v>Repression</v>
      </c>
    </row>
    <row r="218">
      <c r="A218" s="42">
        <v>4.1</v>
      </c>
      <c r="B218" s="42" t="s">
        <v>237</v>
      </c>
      <c r="C218" s="42">
        <v>130.0</v>
      </c>
      <c r="E218" s="33" t="str">
        <f>VLOOKUP(C218,'Talent Node'!A:E,2,FALSE)</f>
        <v>Thorn Barrier</v>
      </c>
    </row>
    <row r="219">
      <c r="A219" s="42">
        <v>4.2</v>
      </c>
      <c r="B219" s="42" t="s">
        <v>237</v>
      </c>
      <c r="C219" s="42">
        <v>131.0</v>
      </c>
      <c r="E219" s="33" t="str">
        <f>VLOOKUP(C219,'Talent Node'!A:E,2,FALSE)</f>
        <v>Fair Defense</v>
      </c>
    </row>
    <row r="220">
      <c r="A220" s="42">
        <v>5.1</v>
      </c>
      <c r="B220" s="42" t="s">
        <v>237</v>
      </c>
      <c r="C220" s="42">
        <v>132.0</v>
      </c>
      <c r="E220" s="33" t="str">
        <f>VLOOKUP(C220,'Talent Node'!A:E,2,FALSE)</f>
        <v>Garrison Determination</v>
      </c>
    </row>
    <row r="221">
      <c r="A221" s="42">
        <v>5.2</v>
      </c>
      <c r="B221" s="42" t="s">
        <v>237</v>
      </c>
      <c r="C221" s="42">
        <v>133.0</v>
      </c>
      <c r="E221" s="33" t="str">
        <f>VLOOKUP(C221,'Talent Node'!A:E,2,FALSE)</f>
        <v>Garrison Synergy</v>
      </c>
    </row>
    <row r="222">
      <c r="A222" s="42">
        <v>5.3</v>
      </c>
      <c r="B222" s="42" t="s">
        <v>237</v>
      </c>
      <c r="C222" s="42">
        <v>38.0</v>
      </c>
      <c r="E222" s="33" t="str">
        <f>VLOOKUP(C222,'Talent Node'!A:E,2,FALSE)</f>
        <v>Flank Protection</v>
      </c>
    </row>
    <row r="223">
      <c r="A223" s="42">
        <v>6.1</v>
      </c>
      <c r="B223" s="42" t="s">
        <v>237</v>
      </c>
      <c r="C223" s="42">
        <v>134.0</v>
      </c>
      <c r="E223" s="33" t="str">
        <f>VLOOKUP(C223,'Talent Node'!A:E,2,FALSE)</f>
        <v>Tough Garrison</v>
      </c>
    </row>
    <row r="224">
      <c r="A224" s="42">
        <v>6.2</v>
      </c>
      <c r="B224" s="42" t="s">
        <v>237</v>
      </c>
      <c r="C224" s="42">
        <v>135.0</v>
      </c>
      <c r="E224" s="33" t="str">
        <f>VLOOKUP(C224,'Talent Node'!A:E,2,FALSE)</f>
        <v>Arrogance</v>
      </c>
    </row>
    <row r="225">
      <c r="A225" s="42">
        <v>6.3</v>
      </c>
      <c r="B225" s="42" t="s">
        <v>237</v>
      </c>
      <c r="C225" s="42">
        <v>136.0</v>
      </c>
      <c r="E225" s="33" t="str">
        <f>VLOOKUP(C225,'Talent Node'!A:E,2,FALSE)</f>
        <v>Solidarity</v>
      </c>
    </row>
    <row r="226">
      <c r="A226" s="42">
        <v>7.1</v>
      </c>
      <c r="B226" s="42" t="s">
        <v>237</v>
      </c>
      <c r="C226" s="42">
        <v>137.0</v>
      </c>
      <c r="E226" s="33" t="str">
        <f>VLOOKUP(C226,'Talent Node'!A:E,2,FALSE)</f>
        <v>Garrison Resistance</v>
      </c>
    </row>
    <row r="227">
      <c r="A227" s="42">
        <v>7.2</v>
      </c>
      <c r="B227" s="42" t="s">
        <v>237</v>
      </c>
      <c r="C227" s="42">
        <v>138.0</v>
      </c>
      <c r="D227" s="42">
        <v>6.2</v>
      </c>
      <c r="E227" s="33" t="str">
        <f>VLOOKUP(C227,'Talent Node'!A:E,2,FALSE)</f>
        <v>Grumpy</v>
      </c>
    </row>
    <row r="228">
      <c r="A228" s="42">
        <v>7.3</v>
      </c>
      <c r="B228" s="42" t="s">
        <v>237</v>
      </c>
      <c r="C228" s="42">
        <v>139.0</v>
      </c>
      <c r="E228" s="33" t="str">
        <f>VLOOKUP(C228,'Talent Node'!A:E,2,FALSE)</f>
        <v>Garrison Rampage</v>
      </c>
    </row>
    <row r="229">
      <c r="A229" s="42">
        <v>8.1</v>
      </c>
      <c r="B229" s="42" t="s">
        <v>237</v>
      </c>
      <c r="C229" s="42">
        <v>140.0</v>
      </c>
      <c r="E229" s="33" t="str">
        <f>VLOOKUP(C229,'Talent Node'!A:E,2,FALSE)</f>
        <v>Formidable</v>
      </c>
    </row>
    <row r="230">
      <c r="A230" s="42">
        <v>8.2</v>
      </c>
      <c r="B230" s="42" t="s">
        <v>237</v>
      </c>
      <c r="C230" s="42">
        <v>141.0</v>
      </c>
      <c r="E230" s="33" t="str">
        <f>VLOOKUP(C230,'Talent Node'!A:E,2,FALSE)</f>
        <v>Sacred Realm</v>
      </c>
    </row>
    <row r="231">
      <c r="A231" s="42">
        <v>0.0</v>
      </c>
      <c r="B231" s="42" t="s">
        <v>205</v>
      </c>
      <c r="C231" s="42">
        <v>150.0</v>
      </c>
      <c r="E231" s="33" t="str">
        <f>VLOOKUP(C231,'Talent Node'!A:E,2,FALSE)</f>
        <v>Shield of Stability</v>
      </c>
    </row>
    <row r="232">
      <c r="A232" s="42">
        <v>1.1</v>
      </c>
      <c r="B232" s="42" t="s">
        <v>205</v>
      </c>
      <c r="C232" s="42">
        <v>8.0</v>
      </c>
      <c r="E232" s="33" t="str">
        <f>VLOOKUP(C232,'Talent Node'!A:E,2,FALSE)</f>
        <v>Overall Defense</v>
      </c>
    </row>
    <row r="233">
      <c r="A233" s="42">
        <v>2.1</v>
      </c>
      <c r="B233" s="42" t="s">
        <v>205</v>
      </c>
      <c r="C233" s="42">
        <v>7.0</v>
      </c>
      <c r="E233" s="33" t="str">
        <f>VLOOKUP(C233,'Talent Node'!A:E,2,FALSE)</f>
        <v>Overall Speed</v>
      </c>
    </row>
    <row r="234">
      <c r="A234" s="42">
        <v>2.2</v>
      </c>
      <c r="B234" s="42" t="s">
        <v>205</v>
      </c>
      <c r="C234" s="42">
        <v>88.0</v>
      </c>
      <c r="E234" s="33" t="str">
        <f>VLOOKUP(C234,'Talent Node'!A:E,2,FALSE)</f>
        <v>Swift Analysis</v>
      </c>
    </row>
    <row r="235">
      <c r="A235" s="42">
        <v>2.3</v>
      </c>
      <c r="B235" s="42" t="s">
        <v>205</v>
      </c>
      <c r="C235" s="42">
        <v>16.0</v>
      </c>
      <c r="E235" s="33" t="str">
        <f>VLOOKUP(C235,'Talent Node'!A:E,2,FALSE)</f>
        <v>Intimidation</v>
      </c>
    </row>
    <row r="236">
      <c r="A236" s="42">
        <v>3.1</v>
      </c>
      <c r="B236" s="42" t="s">
        <v>205</v>
      </c>
      <c r="C236" s="42">
        <v>95.0</v>
      </c>
      <c r="E236" s="33" t="str">
        <f>VLOOKUP(C236,'Talent Node'!A:E,2,FALSE)</f>
        <v>Encouraging Dance</v>
      </c>
    </row>
    <row r="237">
      <c r="A237" s="42">
        <v>3.2</v>
      </c>
      <c r="B237" s="42" t="s">
        <v>205</v>
      </c>
      <c r="C237" s="42">
        <v>117.0</v>
      </c>
      <c r="E237" s="33" t="str">
        <f>VLOOKUP(C237,'Talent Node'!A:E,2,FALSE)</f>
        <v>Heaven's Blessings</v>
      </c>
    </row>
    <row r="238">
      <c r="A238" s="42">
        <v>3.3</v>
      </c>
      <c r="B238" s="42" t="s">
        <v>205</v>
      </c>
      <c r="C238" s="42">
        <v>44.0</v>
      </c>
      <c r="E238" s="33" t="str">
        <f>VLOOKUP(C238,'Talent Node'!A:E,2,FALSE)</f>
        <v>All-Conquering</v>
      </c>
    </row>
    <row r="239">
      <c r="A239" s="42">
        <v>4.1</v>
      </c>
      <c r="B239" s="42" t="s">
        <v>205</v>
      </c>
      <c r="C239" s="42">
        <v>142.0</v>
      </c>
      <c r="E239" s="33" t="str">
        <f>VLOOKUP(C239,'Talent Node'!A:E,2,FALSE)</f>
        <v>Impregnable Defense</v>
      </c>
    </row>
    <row r="240">
      <c r="A240" s="42">
        <v>4.2</v>
      </c>
      <c r="B240" s="42" t="s">
        <v>205</v>
      </c>
      <c r="C240" s="42">
        <v>143.0</v>
      </c>
      <c r="E240" s="33" t="str">
        <f>VLOOKUP(C240,'Talent Node'!A:E,2,FALSE)</f>
        <v>Unyielding Spirit</v>
      </c>
    </row>
    <row r="241">
      <c r="A241" s="42">
        <v>5.1</v>
      </c>
      <c r="B241" s="42" t="s">
        <v>205</v>
      </c>
      <c r="C241" s="42">
        <v>8.0</v>
      </c>
      <c r="E241" s="33" t="str">
        <f>VLOOKUP(C241,'Talent Node'!A:E,2,FALSE)</f>
        <v>Overall Defense</v>
      </c>
    </row>
    <row r="242">
      <c r="A242" s="42">
        <v>5.2</v>
      </c>
      <c r="B242" s="42" t="s">
        <v>205</v>
      </c>
      <c r="C242" s="42">
        <v>7.0</v>
      </c>
      <c r="E242" s="33" t="str">
        <f>VLOOKUP(C242,'Talent Node'!A:E,2,FALSE)</f>
        <v>Overall Speed</v>
      </c>
    </row>
    <row r="243">
      <c r="A243" s="42">
        <v>5.3</v>
      </c>
      <c r="B243" s="42" t="s">
        <v>205</v>
      </c>
      <c r="C243" s="42">
        <v>9.0</v>
      </c>
      <c r="E243" s="33" t="str">
        <f>VLOOKUP(C243,'Talent Node'!A:E,2,FALSE)</f>
        <v>Overall Health</v>
      </c>
    </row>
    <row r="244">
      <c r="A244" s="42">
        <v>6.1</v>
      </c>
      <c r="B244" s="42" t="s">
        <v>205</v>
      </c>
      <c r="C244" s="42">
        <v>144.0</v>
      </c>
      <c r="D244" s="42">
        <v>5.1</v>
      </c>
      <c r="E244" s="33" t="str">
        <f>VLOOKUP(C244,'Talent Node'!A:E,2,FALSE)</f>
        <v>Mediation</v>
      </c>
    </row>
    <row r="245">
      <c r="A245" s="42">
        <v>6.2</v>
      </c>
      <c r="B245" s="42" t="s">
        <v>205</v>
      </c>
      <c r="C245" s="42">
        <v>6.0</v>
      </c>
      <c r="E245" s="33" t="str">
        <f>VLOOKUP(C245,'Talent Node'!A:E,2,FALSE)</f>
        <v>Overall Attack</v>
      </c>
    </row>
    <row r="246">
      <c r="A246" s="42">
        <v>6.3</v>
      </c>
      <c r="B246" s="42" t="s">
        <v>205</v>
      </c>
      <c r="C246" s="42">
        <v>145.0</v>
      </c>
      <c r="D246" s="42">
        <v>5.3</v>
      </c>
      <c r="E246" s="33" t="str">
        <f>VLOOKUP(C246,'Talent Node'!A:E,2,FALSE)</f>
        <v>Steel Sinews</v>
      </c>
    </row>
    <row r="247">
      <c r="A247" s="42">
        <v>7.1</v>
      </c>
      <c r="B247" s="42" t="s">
        <v>205</v>
      </c>
      <c r="C247" s="42">
        <v>146.0</v>
      </c>
      <c r="E247" s="33" t="str">
        <f>VLOOKUP(C247,'Talent Node'!A:E,2,FALSE)</f>
        <v>Cloaked Wrath</v>
      </c>
    </row>
    <row r="248">
      <c r="A248" s="42">
        <v>7.2</v>
      </c>
      <c r="B248" s="42" t="s">
        <v>205</v>
      </c>
      <c r="C248" s="42">
        <v>147.0</v>
      </c>
      <c r="D248" s="42">
        <v>6.2</v>
      </c>
      <c r="E248" s="33" t="str">
        <f>VLOOKUP(C248,'Talent Node'!A:E,2,FALSE)</f>
        <v>Ingenious</v>
      </c>
    </row>
    <row r="249">
      <c r="A249" s="42">
        <v>7.3</v>
      </c>
      <c r="B249" s="42" t="s">
        <v>205</v>
      </c>
      <c r="C249" s="42">
        <v>124.0</v>
      </c>
      <c r="E249" s="33" t="str">
        <f>VLOOKUP(C249,'Talent Node'!A:E,2,FALSE)</f>
        <v>Solid Shield</v>
      </c>
    </row>
    <row r="250">
      <c r="A250" s="42">
        <v>8.1</v>
      </c>
      <c r="B250" s="42" t="s">
        <v>205</v>
      </c>
      <c r="C250" s="42">
        <v>148.0</v>
      </c>
      <c r="E250" s="33" t="str">
        <f>VLOOKUP(C250,'Talent Node'!A:E,2,FALSE)</f>
        <v>Hearts of Iron</v>
      </c>
    </row>
    <row r="251">
      <c r="A251" s="42">
        <v>8.2</v>
      </c>
      <c r="B251" s="42" t="s">
        <v>205</v>
      </c>
      <c r="C251" s="42">
        <v>149.0</v>
      </c>
      <c r="E251" s="33" t="str">
        <f>VLOOKUP(C251,'Talent Node'!A:E,2,FALSE)</f>
        <v>Vitality</v>
      </c>
    </row>
    <row r="252">
      <c r="A252" s="42">
        <v>1.1</v>
      </c>
      <c r="B252" s="42" t="s">
        <v>523</v>
      </c>
      <c r="C252" s="42">
        <v>9.0</v>
      </c>
      <c r="E252" s="33" t="str">
        <f>VLOOKUP(C252,'Talent Node'!A:E,2,FALSE)</f>
        <v>Overall Health</v>
      </c>
    </row>
    <row r="253">
      <c r="A253" s="42">
        <v>2.1</v>
      </c>
      <c r="B253" s="42" t="s">
        <v>523</v>
      </c>
      <c r="C253" s="42">
        <v>6.0</v>
      </c>
      <c r="E253" s="33" t="str">
        <f>VLOOKUP(C253,'Talent Node'!A:E,2,FALSE)</f>
        <v>Overall Attack</v>
      </c>
    </row>
    <row r="254">
      <c r="A254" s="42">
        <v>2.2</v>
      </c>
      <c r="B254" s="42" t="s">
        <v>523</v>
      </c>
      <c r="C254" s="42">
        <v>7.0</v>
      </c>
      <c r="E254" s="33" t="str">
        <f>VLOOKUP(C254,'Talent Node'!A:E,2,FALSE)</f>
        <v>Overall Speed</v>
      </c>
    </row>
    <row r="255">
      <c r="A255" s="42">
        <v>2.3</v>
      </c>
      <c r="B255" s="42" t="s">
        <v>523</v>
      </c>
      <c r="C255" s="42">
        <v>8.0</v>
      </c>
      <c r="E255" s="33" t="str">
        <f>VLOOKUP(C255,'Talent Node'!A:E,2,FALSE)</f>
        <v>Overall Defense</v>
      </c>
    </row>
    <row r="256">
      <c r="A256" s="42">
        <v>3.1</v>
      </c>
      <c r="B256" s="42" t="s">
        <v>523</v>
      </c>
      <c r="C256" s="42">
        <v>16.0</v>
      </c>
      <c r="E256" s="33" t="str">
        <f>VLOOKUP(C256,'Talent Node'!A:E,2,FALSE)</f>
        <v>Intimidation</v>
      </c>
    </row>
    <row r="257">
      <c r="A257" s="42">
        <v>3.2</v>
      </c>
      <c r="B257" s="42" t="s">
        <v>523</v>
      </c>
      <c r="C257" s="42">
        <v>39.0</v>
      </c>
      <c r="E257" s="33" t="str">
        <f>VLOOKUP(C257,'Talent Node'!A:E,2,FALSE)</f>
        <v>War Banner</v>
      </c>
    </row>
    <row r="258">
      <c r="A258" s="42">
        <v>3.3</v>
      </c>
      <c r="B258" s="42" t="s">
        <v>523</v>
      </c>
      <c r="C258" s="42">
        <v>31.0</v>
      </c>
      <c r="E258" s="33" t="str">
        <f>VLOOKUP(C258,'Talent Node'!A:E,2,FALSE)</f>
        <v>Adrenaline Rush</v>
      </c>
    </row>
    <row r="259">
      <c r="A259" s="42">
        <v>4.1</v>
      </c>
      <c r="B259" s="42" t="s">
        <v>523</v>
      </c>
      <c r="C259" s="42">
        <v>191.0</v>
      </c>
      <c r="E259" s="33" t="str">
        <f>VLOOKUP(C259,'Talent Node'!A:E,2,FALSE)</f>
        <v>Guardian Angel</v>
      </c>
    </row>
    <row r="260">
      <c r="A260" s="42">
        <v>4.2</v>
      </c>
      <c r="B260" s="42" t="s">
        <v>523</v>
      </c>
      <c r="C260" s="42">
        <v>192.0</v>
      </c>
      <c r="E260" s="33" t="str">
        <f>VLOOKUP(C260,'Talent Node'!A:E,2,FALSE)</f>
        <v>Spirited Response</v>
      </c>
    </row>
    <row r="261">
      <c r="A261" s="42">
        <v>5.1</v>
      </c>
      <c r="B261" s="42" t="s">
        <v>523</v>
      </c>
      <c r="C261" s="42">
        <v>93.0</v>
      </c>
      <c r="E261" s="33" t="str">
        <f>VLOOKUP(C261,'Talent Node'!A:E,2,FALSE)</f>
        <v>Noble Contract</v>
      </c>
    </row>
    <row r="262">
      <c r="A262" s="42">
        <v>5.2</v>
      </c>
      <c r="B262" s="42" t="s">
        <v>523</v>
      </c>
      <c r="C262" s="42">
        <v>193.0</v>
      </c>
      <c r="E262" s="33" t="str">
        <f>VLOOKUP(C262,'Talent Node'!A:E,2,FALSE)</f>
        <v>Unrelenting Fury</v>
      </c>
    </row>
    <row r="263">
      <c r="A263" s="42">
        <v>5.3</v>
      </c>
      <c r="B263" s="42" t="s">
        <v>523</v>
      </c>
      <c r="C263" s="42">
        <v>172.0</v>
      </c>
      <c r="E263" s="33" t="str">
        <f>VLOOKUP(C263,'Talent Node'!A:E,2,FALSE)</f>
        <v>Strength to Strength</v>
      </c>
    </row>
    <row r="264">
      <c r="A264" s="42">
        <v>6.1</v>
      </c>
      <c r="B264" s="42" t="s">
        <v>523</v>
      </c>
      <c r="C264" s="42">
        <v>194.0</v>
      </c>
      <c r="E264" s="33" t="str">
        <f>VLOOKUP(C264,'Talent Node'!A:E,2,FALSE)</f>
        <v>Insight</v>
      </c>
    </row>
    <row r="265">
      <c r="A265" s="42">
        <v>6.2</v>
      </c>
      <c r="B265" s="42" t="s">
        <v>523</v>
      </c>
      <c r="C265" s="42">
        <v>195.0</v>
      </c>
      <c r="E265" s="33" t="str">
        <f>VLOOKUP(C265,'Talent Node'!A:E,2,FALSE)</f>
        <v>Emergency Triage</v>
      </c>
    </row>
    <row r="266">
      <c r="A266" s="42">
        <v>6.3</v>
      </c>
      <c r="B266" s="42" t="s">
        <v>523</v>
      </c>
      <c r="C266" s="42">
        <v>224.0</v>
      </c>
      <c r="E266" s="33" t="str">
        <f>VLOOKUP(C266,'Talent Node'!A:E,2,FALSE)</f>
        <v>Stalwart Shield</v>
      </c>
    </row>
    <row r="267">
      <c r="A267" s="42">
        <v>7.1</v>
      </c>
      <c r="B267" s="42" t="s">
        <v>523</v>
      </c>
      <c r="C267" s="42">
        <v>225.0</v>
      </c>
      <c r="E267" s="33" t="str">
        <f>VLOOKUP(C267,'Talent Node'!A:E,2,FALSE)</f>
        <v>Occult Barrier</v>
      </c>
    </row>
    <row r="268">
      <c r="A268" s="42">
        <v>7.2</v>
      </c>
      <c r="B268" s="42" t="s">
        <v>523</v>
      </c>
      <c r="C268" s="42">
        <v>226.0</v>
      </c>
      <c r="E268" s="33" t="str">
        <f>VLOOKUP(C268,'Talent Node'!A:E,2,FALSE)</f>
        <v>Hasty Retreat</v>
      </c>
    </row>
    <row r="269">
      <c r="A269" s="42">
        <v>7.3</v>
      </c>
      <c r="B269" s="42" t="s">
        <v>523</v>
      </c>
      <c r="C269" s="42">
        <v>196.0</v>
      </c>
      <c r="E269" s="33" t="str">
        <f>VLOOKUP(C269,'Talent Node'!A:E,2,FALSE)</f>
        <v>Watchful Eyes</v>
      </c>
    </row>
    <row r="270">
      <c r="A270" s="42">
        <v>8.1</v>
      </c>
      <c r="B270" s="42" t="s">
        <v>523</v>
      </c>
      <c r="C270" s="42">
        <v>197.0</v>
      </c>
      <c r="E270" s="33" t="str">
        <f>VLOOKUP(C270,'Talent Node'!A:E,2,FALSE)</f>
        <v>Cornered Rat</v>
      </c>
    </row>
    <row r="271">
      <c r="A271" s="42">
        <v>8.2</v>
      </c>
      <c r="B271" s="42" t="s">
        <v>523</v>
      </c>
      <c r="C271" s="42">
        <v>198.0</v>
      </c>
      <c r="E271" s="33" t="str">
        <f>VLOOKUP(C271,'Talent Node'!A:E,2,FALSE)</f>
        <v>Thunderfury</v>
      </c>
    </row>
    <row r="272">
      <c r="A272" s="42">
        <v>0.0</v>
      </c>
      <c r="B272" s="42" t="s">
        <v>194</v>
      </c>
      <c r="C272" s="42">
        <v>210.0</v>
      </c>
      <c r="E272" s="33" t="str">
        <f>VLOOKUP(C272,'Talent Node'!A:E,2,FALSE)</f>
        <v>Transforming Spirit</v>
      </c>
    </row>
    <row r="273">
      <c r="A273" s="42">
        <v>1.1</v>
      </c>
      <c r="B273" s="42" t="s">
        <v>194</v>
      </c>
      <c r="C273" s="42">
        <v>9.0</v>
      </c>
      <c r="E273" s="33" t="str">
        <f>VLOOKUP(C273,'Talent Node'!A:E,2,FALSE)</f>
        <v>Overall Health</v>
      </c>
    </row>
    <row r="274">
      <c r="A274" s="42">
        <v>2.1</v>
      </c>
      <c r="B274" s="42" t="s">
        <v>194</v>
      </c>
      <c r="C274" s="42">
        <v>11.0</v>
      </c>
      <c r="E274" s="33" t="str">
        <f>VLOOKUP(C274,'Talent Node'!A:E,2,FALSE)</f>
        <v>Head Held High</v>
      </c>
    </row>
    <row r="275">
      <c r="A275" s="42">
        <v>2.2</v>
      </c>
      <c r="B275" s="42" t="s">
        <v>194</v>
      </c>
      <c r="C275" s="42">
        <v>199.0</v>
      </c>
      <c r="E275" s="33" t="str">
        <f>VLOOKUP(C275,'Talent Node'!A:E,2,FALSE)</f>
        <v>Prayer of Resuscitation</v>
      </c>
    </row>
    <row r="276">
      <c r="A276" s="42">
        <v>2.3</v>
      </c>
      <c r="B276" s="42" t="s">
        <v>194</v>
      </c>
      <c r="C276" s="42">
        <v>31.0</v>
      </c>
      <c r="E276" s="33" t="str">
        <f>VLOOKUP(C276,'Talent Node'!A:E,2,FALSE)</f>
        <v>Adrenaline Rush</v>
      </c>
    </row>
    <row r="277">
      <c r="A277" s="42">
        <v>3.1</v>
      </c>
      <c r="B277" s="42" t="s">
        <v>194</v>
      </c>
      <c r="C277" s="42">
        <v>67.0</v>
      </c>
      <c r="E277" s="33" t="str">
        <f>VLOOKUP(C277,'Talent Node'!A:E,2,FALSE)</f>
        <v>Shelter of Compassion</v>
      </c>
    </row>
    <row r="278">
      <c r="A278" s="42">
        <v>3.2</v>
      </c>
      <c r="B278" s="42" t="s">
        <v>194</v>
      </c>
      <c r="C278" s="42">
        <v>8.0</v>
      </c>
      <c r="E278" s="33" t="str">
        <f>VLOOKUP(C278,'Talent Node'!A:E,2,FALSE)</f>
        <v>Overall Defense</v>
      </c>
    </row>
    <row r="279">
      <c r="A279" s="42">
        <v>3.3</v>
      </c>
      <c r="B279" s="42" t="s">
        <v>194</v>
      </c>
      <c r="C279" s="42">
        <v>44.0</v>
      </c>
      <c r="E279" s="33" t="str">
        <f>VLOOKUP(C279,'Talent Node'!A:E,2,FALSE)</f>
        <v>All-Conquering</v>
      </c>
    </row>
    <row r="280">
      <c r="A280" s="42">
        <v>4.1</v>
      </c>
      <c r="B280" s="42" t="s">
        <v>194</v>
      </c>
      <c r="C280" s="42">
        <v>200.0</v>
      </c>
      <c r="E280" s="33" t="str">
        <f>VLOOKUP(C280,'Talent Node'!A:E,2,FALSE)</f>
        <v>Auspicious</v>
      </c>
    </row>
    <row r="281">
      <c r="A281" s="42">
        <v>4.2</v>
      </c>
      <c r="B281" s="42" t="s">
        <v>194</v>
      </c>
      <c r="C281" s="42">
        <v>201.0</v>
      </c>
      <c r="E281" s="33" t="str">
        <f>VLOOKUP(C281,'Talent Node'!A:E,2,FALSE)</f>
        <v>Forcefield</v>
      </c>
    </row>
    <row r="282">
      <c r="A282" s="42">
        <v>5.1</v>
      </c>
      <c r="B282" s="42" t="s">
        <v>194</v>
      </c>
      <c r="C282" s="42">
        <v>202.0</v>
      </c>
      <c r="E282" s="33" t="str">
        <f>VLOOKUP(C282,'Talent Node'!A:E,2,FALSE)</f>
        <v>Shrink</v>
      </c>
    </row>
    <row r="283">
      <c r="A283" s="42">
        <v>5.2</v>
      </c>
      <c r="B283" s="42" t="s">
        <v>194</v>
      </c>
      <c r="C283" s="42">
        <v>203.0</v>
      </c>
      <c r="E283" s="33" t="str">
        <f>VLOOKUP(C283,'Talent Node'!A:E,2,FALSE)</f>
        <v>Ex Nihilo</v>
      </c>
    </row>
    <row r="284">
      <c r="A284" s="42">
        <v>5.3</v>
      </c>
      <c r="B284" s="42" t="s">
        <v>194</v>
      </c>
      <c r="C284" s="42">
        <v>16.0</v>
      </c>
      <c r="E284" s="33" t="str">
        <f>VLOOKUP(C284,'Talent Node'!A:E,2,FALSE)</f>
        <v>Intimidation</v>
      </c>
    </row>
    <row r="285">
      <c r="A285" s="42">
        <v>6.1</v>
      </c>
      <c r="B285" s="42" t="s">
        <v>194</v>
      </c>
      <c r="C285" s="42">
        <v>204.0</v>
      </c>
      <c r="D285" s="42">
        <v>5.1</v>
      </c>
      <c r="E285" s="33" t="str">
        <f>VLOOKUP(C285,'Talent Node'!A:E,2,FALSE)</f>
        <v>Mastermind</v>
      </c>
    </row>
    <row r="286">
      <c r="A286" s="42">
        <v>6.2</v>
      </c>
      <c r="B286" s="42" t="s">
        <v>194</v>
      </c>
      <c r="C286" s="42">
        <v>172.0</v>
      </c>
      <c r="E286" s="33" t="str">
        <f>VLOOKUP(C286,'Talent Node'!A:E,2,FALSE)</f>
        <v>Strength to Strength</v>
      </c>
    </row>
    <row r="287">
      <c r="A287" s="42">
        <v>6.3</v>
      </c>
      <c r="B287" s="42" t="s">
        <v>194</v>
      </c>
      <c r="C287" s="42">
        <v>205.0</v>
      </c>
      <c r="E287" s="33" t="str">
        <f>VLOOKUP(C287,'Talent Node'!A:E,2,FALSE)</f>
        <v>Rebirth</v>
      </c>
    </row>
    <row r="288">
      <c r="A288" s="42">
        <v>7.1</v>
      </c>
      <c r="B288" s="42" t="s">
        <v>194</v>
      </c>
      <c r="C288" s="42">
        <v>21.0</v>
      </c>
      <c r="E288" s="33" t="str">
        <f>VLOOKUP(C288,'Talent Node'!A:E,2,FALSE)</f>
        <v>Egoism</v>
      </c>
    </row>
    <row r="289">
      <c r="A289" s="42">
        <v>7.2</v>
      </c>
      <c r="B289" s="42" t="s">
        <v>194</v>
      </c>
      <c r="C289" s="42">
        <v>206.0</v>
      </c>
      <c r="E289" s="33" t="str">
        <f>VLOOKUP(C289,'Talent Node'!A:E,2,FALSE)</f>
        <v>Sublimation</v>
      </c>
    </row>
    <row r="290">
      <c r="A290" s="42">
        <v>7.3</v>
      </c>
      <c r="B290" s="42" t="s">
        <v>194</v>
      </c>
      <c r="C290" s="42">
        <v>207.0</v>
      </c>
      <c r="D290" s="42">
        <v>6.3</v>
      </c>
      <c r="E290" s="33" t="str">
        <f>VLOOKUP(C290,'Talent Node'!A:E,2,FALSE)</f>
        <v>Pick-Me-Up</v>
      </c>
    </row>
    <row r="291">
      <c r="A291" s="42">
        <v>8.1</v>
      </c>
      <c r="B291" s="42" t="s">
        <v>194</v>
      </c>
      <c r="C291" s="42">
        <v>208.0</v>
      </c>
      <c r="E291" s="33" t="str">
        <f>VLOOKUP(C291,'Talent Node'!A:E,2,FALSE)</f>
        <v>Punisher</v>
      </c>
    </row>
    <row r="292">
      <c r="A292" s="42">
        <v>8.2</v>
      </c>
      <c r="B292" s="42" t="s">
        <v>194</v>
      </c>
      <c r="C292" s="42">
        <v>209.0</v>
      </c>
      <c r="E292" s="33" t="str">
        <f>VLOOKUP(C292,'Talent Node'!A:E,2,FALSE)</f>
        <v>Flock of Blessings</v>
      </c>
    </row>
    <row r="293">
      <c r="A293" s="42">
        <v>1.1</v>
      </c>
      <c r="B293" s="42" t="s">
        <v>317</v>
      </c>
      <c r="C293" s="42">
        <v>8.0</v>
      </c>
      <c r="E293" s="33" t="str">
        <f>VLOOKUP(C293,'Talent Node'!A:E,2,FALSE)</f>
        <v>Overall Defense</v>
      </c>
    </row>
    <row r="294">
      <c r="A294" s="42">
        <v>2.1</v>
      </c>
      <c r="B294" s="42" t="s">
        <v>317</v>
      </c>
      <c r="C294" s="42">
        <v>9.0</v>
      </c>
      <c r="E294" s="33" t="str">
        <f>VLOOKUP(C294,'Talent Node'!A:E,2,FALSE)</f>
        <v>Overall Health</v>
      </c>
    </row>
    <row r="295">
      <c r="A295" s="42">
        <v>2.2</v>
      </c>
      <c r="B295" s="42" t="s">
        <v>317</v>
      </c>
      <c r="C295" s="42">
        <v>211.0</v>
      </c>
      <c r="E295" s="33" t="str">
        <f>VLOOKUP(C295,'Talent Node'!A:E,2,FALSE)</f>
        <v>Fortification</v>
      </c>
    </row>
    <row r="296">
      <c r="A296" s="42">
        <v>2.3</v>
      </c>
      <c r="B296" s="42" t="s">
        <v>317</v>
      </c>
      <c r="C296" s="42">
        <v>7.0</v>
      </c>
      <c r="E296" s="33" t="str">
        <f>VLOOKUP(C296,'Talent Node'!A:E,2,FALSE)</f>
        <v>Overall Speed</v>
      </c>
    </row>
    <row r="297">
      <c r="A297" s="42">
        <v>3.1</v>
      </c>
      <c r="B297" s="42" t="s">
        <v>317</v>
      </c>
      <c r="C297" s="42">
        <v>18.0</v>
      </c>
      <c r="E297" s="33" t="str">
        <f>VLOOKUP(C297,'Talent Node'!A:E,2,FALSE)</f>
        <v>Alert</v>
      </c>
    </row>
    <row r="298">
      <c r="A298" s="42">
        <v>3.2</v>
      </c>
      <c r="B298" s="42" t="s">
        <v>317</v>
      </c>
      <c r="C298" s="42">
        <v>212.0</v>
      </c>
      <c r="E298" s="33" t="str">
        <f>VLOOKUP(C298,'Talent Node'!A:E,2,FALSE)</f>
        <v>Havoc</v>
      </c>
    </row>
    <row r="299">
      <c r="A299" s="42">
        <v>3.3</v>
      </c>
      <c r="B299" s="42" t="s">
        <v>317</v>
      </c>
      <c r="C299" s="42">
        <v>6.0</v>
      </c>
      <c r="E299" s="33" t="str">
        <f>VLOOKUP(C299,'Talent Node'!A:E,2,FALSE)</f>
        <v>Overall Attack</v>
      </c>
    </row>
    <row r="300">
      <c r="A300" s="42">
        <v>4.1</v>
      </c>
      <c r="B300" s="42" t="s">
        <v>317</v>
      </c>
      <c r="C300" s="42">
        <v>213.0</v>
      </c>
      <c r="E300" s="33" t="str">
        <f>VLOOKUP(C300,'Talent Node'!A:E,2,FALSE)</f>
        <v>Engineering Models</v>
      </c>
    </row>
    <row r="301">
      <c r="A301" s="42">
        <v>4.2</v>
      </c>
      <c r="B301" s="42" t="s">
        <v>317</v>
      </c>
      <c r="C301" s="42">
        <v>214.0</v>
      </c>
      <c r="E301" s="33" t="str">
        <f>VLOOKUP(C301,'Talent Node'!A:E,2,FALSE)</f>
        <v>Backup Staffing</v>
      </c>
    </row>
    <row r="302">
      <c r="A302" s="42">
        <v>5.1</v>
      </c>
      <c r="B302" s="42" t="s">
        <v>317</v>
      </c>
      <c r="C302" s="42">
        <v>212.0</v>
      </c>
      <c r="E302" s="33" t="str">
        <f>VLOOKUP(C302,'Talent Node'!A:E,2,FALSE)</f>
        <v>Havoc</v>
      </c>
    </row>
    <row r="303">
      <c r="A303" s="42">
        <v>5.2</v>
      </c>
      <c r="B303" s="42" t="s">
        <v>317</v>
      </c>
      <c r="C303" s="42">
        <v>215.0</v>
      </c>
      <c r="E303" s="33" t="str">
        <f>VLOOKUP(C303,'Talent Node'!A:E,2,FALSE)</f>
        <v>Hard Hats</v>
      </c>
    </row>
    <row r="304">
      <c r="A304" s="42">
        <v>5.3</v>
      </c>
      <c r="B304" s="42" t="s">
        <v>317</v>
      </c>
      <c r="C304" s="42">
        <v>211.0</v>
      </c>
      <c r="E304" s="33" t="str">
        <f>VLOOKUP(C304,'Talent Node'!A:E,2,FALSE)</f>
        <v>Fortification</v>
      </c>
    </row>
    <row r="305">
      <c r="A305" s="42">
        <v>6.1</v>
      </c>
      <c r="B305" s="42" t="s">
        <v>317</v>
      </c>
      <c r="C305" s="42">
        <v>216.0</v>
      </c>
      <c r="D305" s="42">
        <v>5.1</v>
      </c>
      <c r="E305" s="33" t="str">
        <f>VLOOKUP(C305,'Talent Node'!A:E,2,FALSE)</f>
        <v>Homeward Bound</v>
      </c>
    </row>
    <row r="306">
      <c r="A306" s="42">
        <v>6.2</v>
      </c>
      <c r="B306" s="42" t="s">
        <v>317</v>
      </c>
      <c r="C306" s="42">
        <v>217.0</v>
      </c>
      <c r="E306" s="33" t="str">
        <f>VLOOKUP(C306,'Talent Node'!A:E,2,FALSE)</f>
        <v>Stockpiling</v>
      </c>
    </row>
    <row r="307">
      <c r="A307" s="42">
        <v>6.3</v>
      </c>
      <c r="B307" s="42" t="s">
        <v>317</v>
      </c>
      <c r="C307" s="42">
        <v>218.0</v>
      </c>
      <c r="D307" s="42">
        <v>5.3</v>
      </c>
      <c r="E307" s="33" t="str">
        <f>VLOOKUP(C307,'Talent Node'!A:E,2,FALSE)</f>
        <v>Civil Defense</v>
      </c>
    </row>
    <row r="308">
      <c r="A308" s="42">
        <v>7.1</v>
      </c>
      <c r="B308" s="42" t="s">
        <v>317</v>
      </c>
      <c r="C308" s="42">
        <v>219.0</v>
      </c>
      <c r="E308" s="33" t="str">
        <f>VLOOKUP(C308,'Talent Node'!A:E,2,FALSE)</f>
        <v>Guardianship</v>
      </c>
    </row>
    <row r="309">
      <c r="A309" s="42">
        <v>7.2</v>
      </c>
      <c r="B309" s="42" t="s">
        <v>317</v>
      </c>
      <c r="C309" s="42">
        <v>220.0</v>
      </c>
      <c r="E309" s="33" t="str">
        <f>VLOOKUP(C309,'Talent Node'!A:E,2,FALSE)</f>
        <v>Eminent Domain</v>
      </c>
    </row>
    <row r="310">
      <c r="A310" s="42">
        <v>7.3</v>
      </c>
      <c r="B310" s="42" t="s">
        <v>317</v>
      </c>
      <c r="C310" s="42">
        <v>221.0</v>
      </c>
      <c r="E310" s="33" t="str">
        <f>VLOOKUP(C310,'Talent Node'!A:E,2,FALSE)</f>
        <v>Bag of Tricks</v>
      </c>
    </row>
    <row r="311">
      <c r="A311" s="42">
        <v>8.1</v>
      </c>
      <c r="B311" s="42" t="s">
        <v>317</v>
      </c>
      <c r="C311" s="42">
        <v>222.0</v>
      </c>
      <c r="E311" s="33" t="str">
        <f>VLOOKUP(C311,'Talent Node'!A:E,2,FALSE)</f>
        <v>Workplace Security</v>
      </c>
    </row>
    <row r="312">
      <c r="A312" s="42">
        <v>8.2</v>
      </c>
      <c r="B312" s="42" t="s">
        <v>317</v>
      </c>
      <c r="C312" s="42">
        <v>223.0</v>
      </c>
      <c r="E312" s="33" t="str">
        <f>VLOOKUP(C312,'Talent Node'!A:E,2,FALSE)</f>
        <v>Right to Work</v>
      </c>
    </row>
    <row r="313">
      <c r="A313" s="42">
        <v>1.1</v>
      </c>
      <c r="B313" s="42" t="s">
        <v>173</v>
      </c>
      <c r="C313" s="42">
        <v>228.0</v>
      </c>
      <c r="E313" s="33" t="str">
        <f>VLOOKUP(C313,'Talent Node'!A:E,2,FALSE)</f>
        <v>Earth's Grace</v>
      </c>
    </row>
    <row r="314">
      <c r="A314" s="42">
        <v>2.1</v>
      </c>
      <c r="B314" s="42" t="s">
        <v>173</v>
      </c>
      <c r="C314" s="42">
        <v>229.0</v>
      </c>
      <c r="E314" s="33" t="str">
        <f>VLOOKUP(C314,'Talent Node'!A:E,2,FALSE)</f>
        <v>Veteran Goldsmith</v>
      </c>
    </row>
    <row r="315">
      <c r="A315" s="42">
        <v>2.2</v>
      </c>
      <c r="B315" s="42" t="s">
        <v>173</v>
      </c>
      <c r="C315" s="42">
        <v>230.0</v>
      </c>
      <c r="E315" s="33" t="str">
        <f>VLOOKUP(C315,'Talent Node'!A:E,2,FALSE)</f>
        <v>Transport Speed</v>
      </c>
    </row>
    <row r="316">
      <c r="A316" s="42">
        <v>2.3</v>
      </c>
      <c r="B316" s="42" t="s">
        <v>173</v>
      </c>
      <c r="C316" s="42">
        <v>231.0</v>
      </c>
      <c r="E316" s="33" t="str">
        <f>VLOOKUP(C316,'Talent Node'!A:E,2,FALSE)</f>
        <v>Veteran Lumberjack</v>
      </c>
    </row>
    <row r="317">
      <c r="A317" s="42">
        <v>3.1</v>
      </c>
      <c r="B317" s="42" t="s">
        <v>173</v>
      </c>
      <c r="C317" s="42">
        <v>232.0</v>
      </c>
      <c r="E317" s="33" t="str">
        <f>VLOOKUP(C317,'Talent Node'!A:E,2,FALSE)</f>
        <v>Veteran Miner</v>
      </c>
    </row>
    <row r="318">
      <c r="A318" s="42">
        <v>3.2</v>
      </c>
      <c r="B318" s="42" t="s">
        <v>173</v>
      </c>
      <c r="C318" s="42">
        <v>233.0</v>
      </c>
      <c r="E318" s="33" t="str">
        <f>VLOOKUP(C318,'Talent Node'!A:E,2,FALSE)</f>
        <v>Overall Load Capacity</v>
      </c>
    </row>
    <row r="319">
      <c r="A319" s="42">
        <v>3.3</v>
      </c>
      <c r="B319" s="42" t="s">
        <v>173</v>
      </c>
      <c r="C319" s="42">
        <v>234.0</v>
      </c>
      <c r="E319" s="33" t="str">
        <f>VLOOKUP(C319,'Talent Node'!A:E,2,FALSE)</f>
        <v>Mana Master</v>
      </c>
    </row>
    <row r="320">
      <c r="A320" s="42">
        <v>4.1</v>
      </c>
      <c r="B320" s="42" t="s">
        <v>173</v>
      </c>
      <c r="C320" s="42">
        <v>235.0</v>
      </c>
      <c r="E320" s="33" t="str">
        <f>VLOOKUP(C320,'Talent Node'!A:E,2,FALSE)</f>
        <v>Joyful Burden</v>
      </c>
    </row>
    <row r="321">
      <c r="A321" s="42">
        <v>4.2</v>
      </c>
      <c r="B321" s="42" t="s">
        <v>173</v>
      </c>
      <c r="C321" s="42">
        <v>236.0</v>
      </c>
      <c r="E321" s="33" t="str">
        <f>VLOOKUP(C321,'Talent Node'!A:E,2,FALSE)</f>
        <v>Quick Harvest</v>
      </c>
    </row>
    <row r="322">
      <c r="A322" s="42">
        <v>5.1</v>
      </c>
      <c r="B322" s="42" t="s">
        <v>173</v>
      </c>
      <c r="C322" s="42">
        <v>237.0</v>
      </c>
      <c r="E322" s="33" t="str">
        <f>VLOOKUP(C322,'Talent Node'!A:E,2,FALSE)</f>
        <v>War Banner</v>
      </c>
    </row>
    <row r="323">
      <c r="A323" s="42">
        <v>5.2</v>
      </c>
      <c r="B323" s="42" t="s">
        <v>173</v>
      </c>
      <c r="C323" s="42">
        <v>238.0</v>
      </c>
      <c r="E323" s="33" t="str">
        <f>VLOOKUP(C323,'Talent Node'!A:E,2,FALSE)</f>
        <v>Emergency Triage</v>
      </c>
    </row>
    <row r="324">
      <c r="A324" s="42">
        <v>5.3</v>
      </c>
      <c r="B324" s="42" t="s">
        <v>173</v>
      </c>
      <c r="C324" s="42">
        <v>230.0</v>
      </c>
      <c r="E324" s="33" t="str">
        <f>VLOOKUP(C324,'Talent Node'!A:E,2,FALSE)</f>
        <v>Transport Speed</v>
      </c>
    </row>
    <row r="325">
      <c r="A325" s="42">
        <v>6.1</v>
      </c>
      <c r="B325" s="42" t="s">
        <v>173</v>
      </c>
      <c r="C325" s="42">
        <v>10.0</v>
      </c>
      <c r="E325" s="33" t="str">
        <f>VLOOKUP(C325,'Talent Node'!A:E,2,FALSE)</f>
        <v>Logistics Master</v>
      </c>
    </row>
    <row r="326">
      <c r="A326" s="42">
        <v>6.2</v>
      </c>
      <c r="B326" s="42" t="s">
        <v>173</v>
      </c>
      <c r="C326" s="42">
        <v>239.0</v>
      </c>
      <c r="E326" s="33" t="str">
        <f>VLOOKUP(C326,'Talent Node'!A:E,2,FALSE)</f>
        <v>Leeway</v>
      </c>
    </row>
    <row r="327">
      <c r="A327" s="42">
        <v>6.3</v>
      </c>
      <c r="B327" s="42" t="s">
        <v>173</v>
      </c>
      <c r="C327" s="42">
        <v>233.0</v>
      </c>
      <c r="E327" s="33" t="str">
        <f>VLOOKUP(C327,'Talent Node'!A:E,2,FALSE)</f>
        <v>Overall Load Capacity</v>
      </c>
    </row>
    <row r="328">
      <c r="A328" s="42">
        <v>7.1</v>
      </c>
      <c r="B328" s="42" t="s">
        <v>173</v>
      </c>
      <c r="C328" s="42">
        <v>228.0</v>
      </c>
      <c r="E328" s="33" t="str">
        <f>VLOOKUP(C328,'Talent Node'!A:E,2,FALSE)</f>
        <v>Earth's Grace</v>
      </c>
    </row>
    <row r="329">
      <c r="A329" s="42">
        <v>7.2</v>
      </c>
      <c r="B329" s="42" t="s">
        <v>173</v>
      </c>
      <c r="C329" s="42">
        <v>240.0</v>
      </c>
      <c r="D329" s="42">
        <v>6.2</v>
      </c>
      <c r="E329" s="33" t="str">
        <f>VLOOKUP(C329,'Talent Node'!A:E,2,FALSE)</f>
        <v>Joyful Labor</v>
      </c>
    </row>
    <row r="330">
      <c r="A330" s="42">
        <v>7.3</v>
      </c>
      <c r="B330" s="42" t="s">
        <v>173</v>
      </c>
      <c r="C330" s="42">
        <v>241.0</v>
      </c>
      <c r="D330" s="42">
        <v>6.3</v>
      </c>
      <c r="E330" s="33" t="str">
        <f>VLOOKUP(C330,'Talent Node'!A:E,2,FALSE)</f>
        <v>Undeterred</v>
      </c>
    </row>
    <row r="331">
      <c r="A331" s="42">
        <v>8.1</v>
      </c>
      <c r="B331" s="42" t="s">
        <v>173</v>
      </c>
      <c r="C331" s="42">
        <v>242.0</v>
      </c>
      <c r="E331" s="33" t="str">
        <f>VLOOKUP(C331,'Talent Node'!A:E,2,FALSE)</f>
        <v>Windfall</v>
      </c>
    </row>
    <row r="332">
      <c r="A332" s="42">
        <v>8.2</v>
      </c>
      <c r="B332" s="42" t="s">
        <v>173</v>
      </c>
      <c r="C332" s="42">
        <v>243.0</v>
      </c>
      <c r="E332" s="33" t="str">
        <f>VLOOKUP(C332,'Talent Node'!A:E,2,FALSE)</f>
        <v>Lay of the Land</v>
      </c>
    </row>
    <row r="333">
      <c r="A333" s="42">
        <v>0.0</v>
      </c>
      <c r="B333" s="42" t="s">
        <v>217</v>
      </c>
      <c r="C333" s="42">
        <v>189.0</v>
      </c>
      <c r="E333" s="33" t="str">
        <f>VLOOKUP(C333,'Talent Node'!A:E,2,FALSE)</f>
        <v>Balanced Heart</v>
      </c>
    </row>
    <row r="334">
      <c r="A334" s="42">
        <v>1.1</v>
      </c>
      <c r="B334" s="42" t="s">
        <v>217</v>
      </c>
      <c r="C334" s="42">
        <v>7.0</v>
      </c>
      <c r="E334" s="33" t="str">
        <f>VLOOKUP(C334,'Talent Node'!A:E,2,FALSE)</f>
        <v>Overall Speed</v>
      </c>
    </row>
    <row r="335">
      <c r="A335" s="42">
        <v>2.1</v>
      </c>
      <c r="B335" s="42" t="s">
        <v>217</v>
      </c>
      <c r="C335" s="42">
        <v>103.0</v>
      </c>
      <c r="E335" s="33" t="str">
        <f>VLOOKUP(C335,'Talent Node'!A:E,2,FALSE)</f>
        <v>Predator</v>
      </c>
    </row>
    <row r="336">
      <c r="A336" s="42">
        <v>2.2</v>
      </c>
      <c r="B336" s="42" t="s">
        <v>217</v>
      </c>
      <c r="C336" s="42">
        <v>6.0</v>
      </c>
      <c r="E336" s="33" t="str">
        <f>VLOOKUP(C336,'Talent Node'!A:E,2,FALSE)</f>
        <v>Overall Attack</v>
      </c>
    </row>
    <row r="337">
      <c r="A337" s="42">
        <v>2.3</v>
      </c>
      <c r="B337" s="42" t="s">
        <v>217</v>
      </c>
      <c r="C337" s="42">
        <v>88.0</v>
      </c>
      <c r="E337" s="33" t="str">
        <f>VLOOKUP(C337,'Talent Node'!A:E,2,FALSE)</f>
        <v>Swift Analysis</v>
      </c>
    </row>
    <row r="338">
      <c r="A338" s="42">
        <v>3.1</v>
      </c>
      <c r="B338" s="42" t="s">
        <v>217</v>
      </c>
      <c r="C338" s="42">
        <v>35.0</v>
      </c>
      <c r="E338" s="33" t="str">
        <f>VLOOKUP(C338,'Talent Node'!A:E,2,FALSE)</f>
        <v>Last Word</v>
      </c>
    </row>
    <row r="339">
      <c r="A339" s="42">
        <v>3.2</v>
      </c>
      <c r="B339" s="42" t="s">
        <v>217</v>
      </c>
      <c r="C339" s="42">
        <v>7.0</v>
      </c>
      <c r="E339" s="33" t="str">
        <f>VLOOKUP(C339,'Talent Node'!A:E,2,FALSE)</f>
        <v>Overall Speed</v>
      </c>
    </row>
    <row r="340">
      <c r="A340" s="42">
        <v>3.3</v>
      </c>
      <c r="B340" s="42" t="s">
        <v>217</v>
      </c>
      <c r="C340" s="42">
        <v>31.0</v>
      </c>
      <c r="E340" s="33" t="str">
        <f>VLOOKUP(C340,'Talent Node'!A:E,2,FALSE)</f>
        <v>Adrenaline Rush</v>
      </c>
    </row>
    <row r="341">
      <c r="A341" s="42">
        <v>4.1</v>
      </c>
      <c r="B341" s="42" t="s">
        <v>217</v>
      </c>
      <c r="C341" s="42">
        <v>104.0</v>
      </c>
      <c r="E341" s="33" t="str">
        <f>VLOOKUP(C341,'Talent Node'!A:E,2,FALSE)</f>
        <v>Preemptive Preparations</v>
      </c>
    </row>
    <row r="342">
      <c r="A342" s="42">
        <v>4.2</v>
      </c>
      <c r="B342" s="42" t="s">
        <v>217</v>
      </c>
      <c r="C342" s="42">
        <v>105.0</v>
      </c>
      <c r="E342" s="33" t="str">
        <f>VLOOKUP(C342,'Talent Node'!A:E,2,FALSE)</f>
        <v>Swift Maneuvers</v>
      </c>
    </row>
    <row r="343">
      <c r="A343" s="42">
        <v>5.1</v>
      </c>
      <c r="B343" s="42" t="s">
        <v>217</v>
      </c>
      <c r="C343" s="42">
        <v>44.0</v>
      </c>
      <c r="E343" s="33" t="str">
        <f>VLOOKUP(C343,'Talent Node'!A:E,2,FALSE)</f>
        <v>All-Conquering</v>
      </c>
    </row>
    <row r="344">
      <c r="A344" s="42">
        <v>5.2</v>
      </c>
      <c r="B344" s="42" t="s">
        <v>217</v>
      </c>
      <c r="C344" s="42">
        <v>16.0</v>
      </c>
      <c r="E344" s="33" t="str">
        <f>VLOOKUP(C344,'Talent Node'!A:E,2,FALSE)</f>
        <v>Intimidation</v>
      </c>
    </row>
    <row r="345">
      <c r="A345" s="42">
        <v>5.3</v>
      </c>
      <c r="B345" s="42" t="s">
        <v>217</v>
      </c>
      <c r="C345" s="42">
        <v>106.0</v>
      </c>
      <c r="E345" s="33" t="str">
        <f>VLOOKUP(C345,'Talent Node'!A:E,2,FALSE)</f>
        <v>Plan B</v>
      </c>
    </row>
    <row r="346">
      <c r="A346" s="42">
        <v>6.1</v>
      </c>
      <c r="B346" s="42" t="s">
        <v>217</v>
      </c>
      <c r="C346" s="42">
        <v>21.0</v>
      </c>
      <c r="E346" s="33" t="str">
        <f>VLOOKUP(C346,'Talent Node'!A:E,2,FALSE)</f>
        <v>Egoism</v>
      </c>
    </row>
    <row r="347">
      <c r="A347" s="42">
        <v>6.2</v>
      </c>
      <c r="B347" s="42" t="s">
        <v>217</v>
      </c>
      <c r="C347" s="42">
        <v>107.0</v>
      </c>
      <c r="E347" s="33" t="str">
        <f>VLOOKUP(C347,'Talent Node'!A:E,2,FALSE)</f>
        <v>Hasty March</v>
      </c>
    </row>
    <row r="348">
      <c r="A348" s="42">
        <v>6.3</v>
      </c>
      <c r="B348" s="42" t="s">
        <v>217</v>
      </c>
      <c r="C348" s="42">
        <v>108.0</v>
      </c>
      <c r="D348" s="42">
        <v>5.3</v>
      </c>
      <c r="E348" s="33" t="str">
        <f>VLOOKUP(C348,'Talent Node'!A:E,2,FALSE)</f>
        <v>Sneak Attack</v>
      </c>
    </row>
    <row r="349">
      <c r="A349" s="42">
        <v>7.1</v>
      </c>
      <c r="B349" s="42" t="s">
        <v>217</v>
      </c>
      <c r="C349" s="42">
        <v>109.0</v>
      </c>
      <c r="D349" s="42">
        <v>6.1</v>
      </c>
      <c r="E349" s="33" t="str">
        <f>VLOOKUP(C349,'Talent Node'!A:E,2,FALSE)</f>
        <v>Tiderider</v>
      </c>
    </row>
    <row r="350">
      <c r="A350" s="42">
        <v>7.2</v>
      </c>
      <c r="B350" s="42" t="s">
        <v>217</v>
      </c>
      <c r="C350" s="42">
        <v>110.0</v>
      </c>
      <c r="D350" s="42">
        <v>6.2</v>
      </c>
      <c r="E350" s="33" t="str">
        <f>VLOOKUP(C350,'Talent Node'!A:E,2,FALSE)</f>
        <v>Cunning</v>
      </c>
    </row>
    <row r="351">
      <c r="A351" s="42">
        <v>7.3</v>
      </c>
      <c r="B351" s="42" t="s">
        <v>217</v>
      </c>
      <c r="C351" s="42">
        <v>111.0</v>
      </c>
      <c r="E351" s="33" t="str">
        <f>VLOOKUP(C351,'Talent Node'!A:E,2,FALSE)</f>
        <v>Maneuverability</v>
      </c>
    </row>
    <row r="352">
      <c r="A352" s="42">
        <v>8.1</v>
      </c>
      <c r="B352" s="42" t="s">
        <v>217</v>
      </c>
      <c r="C352" s="42">
        <v>112.0</v>
      </c>
      <c r="E352" s="33" t="str">
        <f>VLOOKUP(C352,'Talent Node'!A:E,2,FALSE)</f>
        <v>Passing Shadows</v>
      </c>
    </row>
    <row r="353">
      <c r="A353" s="42">
        <v>8.2</v>
      </c>
      <c r="B353" s="42" t="s">
        <v>217</v>
      </c>
      <c r="C353" s="42">
        <v>113.0</v>
      </c>
      <c r="E353" s="33" t="str">
        <f>VLOOKUP(C353,'Talent Node'!A:E,2,FALSE)</f>
        <v>Victory Rush</v>
      </c>
    </row>
    <row r="354">
      <c r="A354" s="42" t="s">
        <v>514</v>
      </c>
      <c r="B354" s="42" t="s">
        <v>524</v>
      </c>
      <c r="C354" s="42">
        <v>227.0</v>
      </c>
      <c r="E354" s="33" t="str">
        <f>VLOOKUP(C354,'Talent Node'!A:E,2,FALSE)</f>
        <v>Earth's Grace</v>
      </c>
    </row>
    <row r="355">
      <c r="A355" s="42" t="s">
        <v>516</v>
      </c>
      <c r="B355" s="42" t="s">
        <v>524</v>
      </c>
      <c r="C355" s="42">
        <v>1.0</v>
      </c>
      <c r="E355" s="33" t="str">
        <f>VLOOKUP(C355,'Talent Node'!A:E,2,FALSE)</f>
        <v>Overall Attack</v>
      </c>
    </row>
    <row r="356">
      <c r="A356" s="42" t="s">
        <v>517</v>
      </c>
      <c r="B356" s="42" t="s">
        <v>524</v>
      </c>
      <c r="C356" s="42">
        <v>2.0</v>
      </c>
      <c r="E356" s="33" t="str">
        <f>VLOOKUP(C356,'Talent Node'!A:E,2,FALSE)</f>
        <v>Overall Speed</v>
      </c>
    </row>
    <row r="357">
      <c r="A357" s="42" t="s">
        <v>518</v>
      </c>
      <c r="B357" s="42" t="s">
        <v>524</v>
      </c>
      <c r="C357" s="42">
        <v>3.0</v>
      </c>
      <c r="E357" s="33" t="str">
        <f>VLOOKUP(C357,'Talent Node'!A:E,2,FALSE)</f>
        <v>Overall Defense</v>
      </c>
    </row>
    <row r="358">
      <c r="A358" s="42" t="s">
        <v>519</v>
      </c>
      <c r="B358" s="42" t="s">
        <v>524</v>
      </c>
      <c r="C358" s="42">
        <v>5.0</v>
      </c>
      <c r="E358" s="33" t="str">
        <f>VLOOKUP(C358,'Talent Node'!A:E,2,FALSE)</f>
        <v>Logistics Master</v>
      </c>
    </row>
    <row r="359">
      <c r="A359" s="42" t="s">
        <v>520</v>
      </c>
      <c r="B359" s="42" t="s">
        <v>524</v>
      </c>
      <c r="C359" s="42">
        <v>4.0</v>
      </c>
      <c r="E359" s="33" t="str">
        <f>VLOOKUP(C359,'Talent Node'!A:E,2,FALSE)</f>
        <v>Overall Health</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6.38"/>
    <col customWidth="1" min="3" max="3" width="6.5"/>
    <col customWidth="1" min="4" max="4" width="138.38"/>
    <col customWidth="1" min="5" max="5" width="15.13"/>
    <col customWidth="1" min="6" max="6" width="11.5"/>
    <col customWidth="1" min="7" max="11" width="5.13"/>
    <col customWidth="1" min="12" max="12" width="30.0"/>
    <col customWidth="1" min="13" max="13" width="6.13"/>
    <col customWidth="1" min="14" max="14" width="22.38"/>
    <col customWidth="1" min="15" max="15" width="39.0"/>
  </cols>
  <sheetData>
    <row r="1">
      <c r="A1" s="106" t="s">
        <v>510</v>
      </c>
      <c r="B1" s="106" t="s">
        <v>86</v>
      </c>
      <c r="C1" s="106" t="s">
        <v>525</v>
      </c>
      <c r="D1" s="106" t="s">
        <v>526</v>
      </c>
      <c r="E1" s="106" t="s">
        <v>527</v>
      </c>
      <c r="F1" s="106" t="s">
        <v>528</v>
      </c>
      <c r="G1" s="106" t="s">
        <v>529</v>
      </c>
      <c r="H1" s="106" t="s">
        <v>530</v>
      </c>
      <c r="I1" s="106" t="s">
        <v>531</v>
      </c>
      <c r="J1" s="106" t="s">
        <v>532</v>
      </c>
      <c r="K1" s="106" t="s">
        <v>533</v>
      </c>
      <c r="L1" s="107" t="s">
        <v>534</v>
      </c>
    </row>
    <row r="2">
      <c r="A2" s="42">
        <v>1.0</v>
      </c>
      <c r="B2" s="42" t="s">
        <v>535</v>
      </c>
      <c r="C2" s="42">
        <v>3.0</v>
      </c>
      <c r="D2" s="108" t="s">
        <v>536</v>
      </c>
      <c r="E2" s="42" t="s">
        <v>537</v>
      </c>
      <c r="F2" s="42" t="s">
        <v>538</v>
      </c>
      <c r="G2" s="42">
        <v>0.4</v>
      </c>
      <c r="H2" s="42">
        <v>0.8</v>
      </c>
      <c r="I2" s="42">
        <v>1.2</v>
      </c>
      <c r="L2" s="42" t="s">
        <v>539</v>
      </c>
    </row>
    <row r="3">
      <c r="A3" s="42">
        <v>2.0</v>
      </c>
      <c r="B3" s="42" t="s">
        <v>540</v>
      </c>
      <c r="C3" s="42">
        <v>3.0</v>
      </c>
      <c r="D3" s="108" t="s">
        <v>541</v>
      </c>
      <c r="E3" s="42" t="s">
        <v>537</v>
      </c>
      <c r="F3" s="42" t="s">
        <v>542</v>
      </c>
      <c r="G3" s="42">
        <v>2.0</v>
      </c>
      <c r="H3" s="42">
        <v>4.0</v>
      </c>
      <c r="I3" s="42">
        <v>6.0</v>
      </c>
      <c r="L3" s="42" t="s">
        <v>543</v>
      </c>
    </row>
    <row r="4">
      <c r="A4" s="42">
        <v>3.0</v>
      </c>
      <c r="B4" s="42" t="s">
        <v>544</v>
      </c>
      <c r="C4" s="42">
        <v>3.0</v>
      </c>
      <c r="D4" s="108" t="s">
        <v>545</v>
      </c>
      <c r="E4" s="42" t="s">
        <v>537</v>
      </c>
      <c r="F4" s="42" t="s">
        <v>546</v>
      </c>
      <c r="G4" s="42">
        <v>0.4</v>
      </c>
      <c r="H4" s="42">
        <v>0.8</v>
      </c>
      <c r="I4" s="42">
        <v>1.2</v>
      </c>
      <c r="L4" s="42" t="s">
        <v>547</v>
      </c>
    </row>
    <row r="5">
      <c r="A5" s="42">
        <v>4.0</v>
      </c>
      <c r="B5" s="42" t="s">
        <v>548</v>
      </c>
      <c r="C5" s="42">
        <v>3.0</v>
      </c>
      <c r="D5" s="108" t="s">
        <v>549</v>
      </c>
      <c r="E5" s="42" t="s">
        <v>537</v>
      </c>
      <c r="F5" s="42" t="s">
        <v>550</v>
      </c>
      <c r="G5" s="42">
        <v>0.4</v>
      </c>
      <c r="H5" s="42">
        <v>0.8</v>
      </c>
      <c r="I5" s="42">
        <v>1.2</v>
      </c>
      <c r="L5" s="42" t="s">
        <v>551</v>
      </c>
    </row>
    <row r="6">
      <c r="A6" s="42">
        <v>5.0</v>
      </c>
      <c r="B6" s="42" t="s">
        <v>552</v>
      </c>
      <c r="C6" s="42">
        <v>3.0</v>
      </c>
      <c r="D6" s="108" t="s">
        <v>553</v>
      </c>
      <c r="E6" s="42" t="s">
        <v>537</v>
      </c>
      <c r="F6" s="42" t="s">
        <v>554</v>
      </c>
      <c r="G6" s="42">
        <v>3.0</v>
      </c>
      <c r="H6" s="42">
        <v>6.0</v>
      </c>
      <c r="I6" s="42">
        <v>9.0</v>
      </c>
      <c r="L6" s="30" t="s">
        <v>555</v>
      </c>
    </row>
    <row r="7">
      <c r="A7" s="42">
        <v>6.0</v>
      </c>
      <c r="B7" s="42" t="s">
        <v>535</v>
      </c>
      <c r="C7" s="42">
        <v>5.0</v>
      </c>
      <c r="D7" s="108" t="s">
        <v>536</v>
      </c>
      <c r="E7" s="42" t="s">
        <v>537</v>
      </c>
      <c r="F7" s="42" t="s">
        <v>538</v>
      </c>
      <c r="G7" s="42">
        <v>0.4</v>
      </c>
      <c r="H7" s="42">
        <v>0.8</v>
      </c>
      <c r="I7" s="42">
        <v>1.2</v>
      </c>
      <c r="J7" s="42">
        <v>1.6</v>
      </c>
      <c r="K7" s="42">
        <v>2.0</v>
      </c>
      <c r="L7" s="42" t="s">
        <v>539</v>
      </c>
    </row>
    <row r="8">
      <c r="A8" s="42">
        <v>7.0</v>
      </c>
      <c r="B8" s="42" t="s">
        <v>540</v>
      </c>
      <c r="C8" s="42">
        <v>5.0</v>
      </c>
      <c r="D8" s="108" t="s">
        <v>541</v>
      </c>
      <c r="E8" s="42" t="s">
        <v>537</v>
      </c>
      <c r="F8" s="42" t="s">
        <v>542</v>
      </c>
      <c r="G8" s="42">
        <v>2.0</v>
      </c>
      <c r="H8" s="42">
        <v>4.0</v>
      </c>
      <c r="I8" s="42">
        <v>6.0</v>
      </c>
      <c r="J8" s="42">
        <v>8.0</v>
      </c>
      <c r="K8" s="42">
        <v>10.0</v>
      </c>
      <c r="L8" s="42" t="s">
        <v>543</v>
      </c>
    </row>
    <row r="9">
      <c r="A9" s="42">
        <v>8.0</v>
      </c>
      <c r="B9" s="42" t="s">
        <v>544</v>
      </c>
      <c r="C9" s="42">
        <v>5.0</v>
      </c>
      <c r="D9" s="108" t="s">
        <v>545</v>
      </c>
      <c r="E9" s="42" t="s">
        <v>537</v>
      </c>
      <c r="F9" s="42" t="s">
        <v>546</v>
      </c>
      <c r="G9" s="42">
        <v>0.4</v>
      </c>
      <c r="H9" s="42">
        <v>0.8</v>
      </c>
      <c r="I9" s="42">
        <v>1.2</v>
      </c>
      <c r="J9" s="42">
        <v>1.6</v>
      </c>
      <c r="K9" s="42">
        <v>2.0</v>
      </c>
      <c r="L9" s="42" t="s">
        <v>547</v>
      </c>
    </row>
    <row r="10">
      <c r="A10" s="42">
        <v>9.0</v>
      </c>
      <c r="B10" s="42" t="s">
        <v>548</v>
      </c>
      <c r="C10" s="42">
        <v>5.0</v>
      </c>
      <c r="D10" s="108" t="s">
        <v>549</v>
      </c>
      <c r="E10" s="42" t="s">
        <v>537</v>
      </c>
      <c r="F10" s="42" t="s">
        <v>550</v>
      </c>
      <c r="G10" s="42">
        <v>0.4</v>
      </c>
      <c r="H10" s="42">
        <v>0.8</v>
      </c>
      <c r="I10" s="42">
        <v>1.2</v>
      </c>
      <c r="J10" s="42">
        <v>1.6</v>
      </c>
      <c r="K10" s="42">
        <v>2.0</v>
      </c>
      <c r="L10" s="42" t="s">
        <v>551</v>
      </c>
      <c r="O10" s="30" t="s">
        <v>556</v>
      </c>
    </row>
    <row r="11">
      <c r="A11" s="42">
        <v>10.0</v>
      </c>
      <c r="B11" s="42" t="s">
        <v>552</v>
      </c>
      <c r="C11" s="42">
        <v>5.0</v>
      </c>
      <c r="D11" s="108" t="s">
        <v>553</v>
      </c>
      <c r="E11" s="42" t="s">
        <v>537</v>
      </c>
      <c r="F11" s="42" t="s">
        <v>554</v>
      </c>
      <c r="G11" s="42">
        <v>3.0</v>
      </c>
      <c r="H11" s="42">
        <v>6.0</v>
      </c>
      <c r="I11" s="42">
        <v>9.0</v>
      </c>
      <c r="J11" s="42">
        <v>12.0</v>
      </c>
      <c r="K11" s="42">
        <v>15.0</v>
      </c>
      <c r="L11" s="42" t="s">
        <v>555</v>
      </c>
      <c r="O11" s="30" t="s">
        <v>557</v>
      </c>
    </row>
    <row r="12">
      <c r="A12" s="42">
        <v>11.0</v>
      </c>
      <c r="B12" s="42" t="s">
        <v>558</v>
      </c>
      <c r="C12" s="42">
        <v>5.0</v>
      </c>
      <c r="D12" s="108" t="s">
        <v>559</v>
      </c>
      <c r="E12" s="42" t="s">
        <v>537</v>
      </c>
      <c r="F12" s="42" t="s">
        <v>560</v>
      </c>
      <c r="G12" s="42">
        <v>10.0</v>
      </c>
      <c r="H12" s="42">
        <v>20.0</v>
      </c>
      <c r="I12" s="42">
        <v>30.0</v>
      </c>
      <c r="J12" s="42">
        <v>40.0</v>
      </c>
      <c r="K12" s="42">
        <v>50.0</v>
      </c>
      <c r="L12" s="109" t="s">
        <v>561</v>
      </c>
      <c r="O12" s="30" t="s">
        <v>562</v>
      </c>
    </row>
    <row r="13">
      <c r="A13" s="42">
        <v>12.0</v>
      </c>
      <c r="B13" s="42" t="s">
        <v>563</v>
      </c>
      <c r="C13" s="42">
        <v>1.0</v>
      </c>
      <c r="D13" s="108" t="s">
        <v>564</v>
      </c>
      <c r="E13" s="42" t="s">
        <v>565</v>
      </c>
      <c r="F13" s="42" t="s">
        <v>566</v>
      </c>
      <c r="L13" s="109" t="s">
        <v>567</v>
      </c>
      <c r="O13" s="30" t="s">
        <v>568</v>
      </c>
    </row>
    <row r="14">
      <c r="A14" s="42">
        <v>13.0</v>
      </c>
      <c r="B14" s="42" t="s">
        <v>569</v>
      </c>
      <c r="C14" s="42">
        <v>5.0</v>
      </c>
      <c r="D14" s="108" t="s">
        <v>570</v>
      </c>
      <c r="E14" s="42" t="s">
        <v>537</v>
      </c>
      <c r="F14" s="42" t="s">
        <v>538</v>
      </c>
      <c r="G14" s="42">
        <v>0.5</v>
      </c>
      <c r="H14" s="42">
        <v>1.0</v>
      </c>
      <c r="I14" s="42">
        <v>1.5</v>
      </c>
      <c r="J14" s="42">
        <v>2.0</v>
      </c>
      <c r="K14" s="42">
        <v>2.5</v>
      </c>
      <c r="L14" s="42" t="s">
        <v>571</v>
      </c>
    </row>
    <row r="15">
      <c r="A15" s="42">
        <v>14.0</v>
      </c>
      <c r="B15" s="42" t="s">
        <v>572</v>
      </c>
      <c r="C15" s="42">
        <v>5.0</v>
      </c>
      <c r="D15" s="108" t="s">
        <v>573</v>
      </c>
      <c r="E15" s="42" t="s">
        <v>537</v>
      </c>
      <c r="F15" s="42" t="s">
        <v>574</v>
      </c>
      <c r="G15" s="42">
        <v>1.0</v>
      </c>
      <c r="H15" s="42">
        <v>2.0</v>
      </c>
      <c r="I15" s="42">
        <v>3.0</v>
      </c>
      <c r="J15" s="42">
        <v>4.0</v>
      </c>
      <c r="K15" s="42">
        <v>5.0</v>
      </c>
      <c r="L15" s="30" t="s">
        <v>575</v>
      </c>
      <c r="N15" s="110" t="s">
        <v>576</v>
      </c>
    </row>
    <row r="16">
      <c r="A16" s="42">
        <v>15.0</v>
      </c>
      <c r="B16" s="42" t="s">
        <v>577</v>
      </c>
      <c r="C16" s="42">
        <v>5.0</v>
      </c>
      <c r="D16" s="108" t="s">
        <v>578</v>
      </c>
      <c r="E16" s="42" t="s">
        <v>537</v>
      </c>
      <c r="F16" s="42" t="s">
        <v>542</v>
      </c>
      <c r="G16" s="42">
        <v>3.0</v>
      </c>
      <c r="H16" s="42">
        <v>6.0</v>
      </c>
      <c r="I16" s="42">
        <v>9.0</v>
      </c>
      <c r="J16" s="42">
        <v>12.0</v>
      </c>
      <c r="K16" s="42">
        <v>15.0</v>
      </c>
      <c r="L16" s="30" t="s">
        <v>579</v>
      </c>
      <c r="N16" s="30" t="s">
        <v>580</v>
      </c>
      <c r="O16" s="30" t="s">
        <v>581</v>
      </c>
    </row>
    <row r="17">
      <c r="A17" s="42">
        <v>16.0</v>
      </c>
      <c r="B17" s="42" t="s">
        <v>582</v>
      </c>
      <c r="C17" s="42">
        <v>5.0</v>
      </c>
      <c r="D17" s="108" t="s">
        <v>583</v>
      </c>
      <c r="E17" s="42" t="s">
        <v>537</v>
      </c>
      <c r="F17" s="42" t="s">
        <v>584</v>
      </c>
      <c r="G17" s="42">
        <v>0.8</v>
      </c>
      <c r="H17" s="42">
        <v>1.6</v>
      </c>
      <c r="I17" s="42">
        <v>2.4</v>
      </c>
      <c r="J17" s="42">
        <v>3.2</v>
      </c>
      <c r="K17" s="42">
        <v>4.0</v>
      </c>
      <c r="L17" s="30" t="s">
        <v>585</v>
      </c>
      <c r="N17" s="30" t="s">
        <v>586</v>
      </c>
      <c r="O17" s="30" t="s">
        <v>587</v>
      </c>
    </row>
    <row r="18">
      <c r="A18" s="42">
        <v>17.0</v>
      </c>
      <c r="B18" s="42" t="s">
        <v>335</v>
      </c>
      <c r="C18" s="42">
        <v>5.0</v>
      </c>
      <c r="D18" s="108" t="s">
        <v>588</v>
      </c>
      <c r="E18" s="42" t="s">
        <v>537</v>
      </c>
      <c r="F18" s="42" t="s">
        <v>538</v>
      </c>
      <c r="G18" s="42">
        <v>3.0</v>
      </c>
      <c r="H18" s="42">
        <v>3.5</v>
      </c>
      <c r="I18" s="42">
        <v>4.0</v>
      </c>
      <c r="J18" s="42">
        <v>4.5</v>
      </c>
      <c r="K18" s="42">
        <v>5.0</v>
      </c>
      <c r="L18" s="30" t="s">
        <v>589</v>
      </c>
      <c r="N18" s="30" t="s">
        <v>590</v>
      </c>
      <c r="O18" s="30" t="s">
        <v>591</v>
      </c>
    </row>
    <row r="19">
      <c r="A19" s="42">
        <v>18.0</v>
      </c>
      <c r="B19" s="42" t="s">
        <v>592</v>
      </c>
      <c r="C19" s="42">
        <v>5.0</v>
      </c>
      <c r="D19" s="108" t="s">
        <v>593</v>
      </c>
      <c r="E19" s="42" t="s">
        <v>537</v>
      </c>
      <c r="F19" s="42" t="s">
        <v>594</v>
      </c>
      <c r="G19" s="42">
        <v>0.3</v>
      </c>
      <c r="H19" s="42">
        <v>0.6</v>
      </c>
      <c r="I19" s="42">
        <v>0.9</v>
      </c>
      <c r="J19" s="42">
        <v>1.2</v>
      </c>
      <c r="K19" s="42">
        <v>1.5</v>
      </c>
      <c r="L19" s="30" t="s">
        <v>595</v>
      </c>
      <c r="N19" s="30" t="s">
        <v>596</v>
      </c>
      <c r="O19" s="30" t="s">
        <v>597</v>
      </c>
    </row>
    <row r="20">
      <c r="A20" s="42">
        <v>19.0</v>
      </c>
      <c r="B20" s="42" t="s">
        <v>598</v>
      </c>
      <c r="C20" s="42">
        <v>1.0</v>
      </c>
      <c r="D20" s="108" t="s">
        <v>599</v>
      </c>
      <c r="E20" s="42" t="s">
        <v>600</v>
      </c>
      <c r="F20" s="42" t="s">
        <v>601</v>
      </c>
      <c r="G20" s="109">
        <v>1.5</v>
      </c>
      <c r="L20" s="30" t="s">
        <v>602</v>
      </c>
      <c r="N20" s="30" t="s">
        <v>603</v>
      </c>
      <c r="O20" s="30" t="s">
        <v>604</v>
      </c>
    </row>
    <row r="21">
      <c r="A21" s="42">
        <v>20.0</v>
      </c>
      <c r="B21" s="42" t="s">
        <v>605</v>
      </c>
      <c r="C21" s="42">
        <v>1.0</v>
      </c>
      <c r="D21" s="108" t="s">
        <v>606</v>
      </c>
      <c r="E21" s="42" t="s">
        <v>600</v>
      </c>
      <c r="F21" s="42" t="s">
        <v>584</v>
      </c>
      <c r="G21" s="109">
        <v>4.0</v>
      </c>
      <c r="L21" s="30" t="s">
        <v>607</v>
      </c>
      <c r="N21" s="30" t="s">
        <v>608</v>
      </c>
      <c r="O21" s="30" t="s">
        <v>609</v>
      </c>
    </row>
    <row r="22">
      <c r="A22" s="42">
        <v>21.0</v>
      </c>
      <c r="B22" s="42" t="s">
        <v>610</v>
      </c>
      <c r="C22" s="42">
        <v>5.0</v>
      </c>
      <c r="D22" s="108" t="s">
        <v>611</v>
      </c>
      <c r="E22" s="42" t="s">
        <v>537</v>
      </c>
      <c r="F22" s="42" t="s">
        <v>612</v>
      </c>
      <c r="G22" s="42">
        <v>0.8</v>
      </c>
      <c r="H22" s="42">
        <v>1.6</v>
      </c>
      <c r="I22" s="42">
        <v>2.4</v>
      </c>
      <c r="J22" s="42">
        <v>3.2</v>
      </c>
      <c r="K22" s="42">
        <v>4.0</v>
      </c>
      <c r="L22" s="30" t="s">
        <v>613</v>
      </c>
      <c r="N22" s="30" t="s">
        <v>614</v>
      </c>
      <c r="O22" s="30" t="s">
        <v>615</v>
      </c>
    </row>
    <row r="23">
      <c r="A23" s="42">
        <v>22.0</v>
      </c>
      <c r="B23" s="42" t="s">
        <v>616</v>
      </c>
      <c r="C23" s="42">
        <v>5.0</v>
      </c>
      <c r="D23" s="108" t="s">
        <v>617</v>
      </c>
      <c r="E23" s="42" t="s">
        <v>537</v>
      </c>
      <c r="F23" s="42" t="s">
        <v>550</v>
      </c>
      <c r="G23" s="42">
        <v>0.5</v>
      </c>
      <c r="H23" s="42">
        <v>1.0</v>
      </c>
      <c r="I23" s="42">
        <v>1.5</v>
      </c>
      <c r="J23" s="42">
        <v>2.0</v>
      </c>
      <c r="K23" s="42">
        <v>2.5</v>
      </c>
      <c r="L23" s="30" t="s">
        <v>618</v>
      </c>
      <c r="N23" s="30" t="s">
        <v>619</v>
      </c>
      <c r="O23" s="30" t="s">
        <v>620</v>
      </c>
    </row>
    <row r="24">
      <c r="A24" s="42">
        <v>23.0</v>
      </c>
      <c r="B24" s="42" t="s">
        <v>621</v>
      </c>
      <c r="C24" s="42">
        <v>5.0</v>
      </c>
      <c r="D24" s="108" t="s">
        <v>622</v>
      </c>
      <c r="E24" s="42" t="s">
        <v>537</v>
      </c>
      <c r="F24" s="42" t="s">
        <v>623</v>
      </c>
      <c r="G24" s="42">
        <v>1.0</v>
      </c>
      <c r="H24" s="42">
        <v>2.0</v>
      </c>
      <c r="I24" s="42">
        <v>3.0</v>
      </c>
      <c r="J24" s="42">
        <v>4.0</v>
      </c>
      <c r="K24" s="42">
        <v>5.0</v>
      </c>
      <c r="L24" s="30" t="s">
        <v>624</v>
      </c>
      <c r="N24" s="30" t="s">
        <v>625</v>
      </c>
      <c r="O24" s="30" t="s">
        <v>626</v>
      </c>
    </row>
    <row r="25">
      <c r="A25" s="42">
        <v>24.0</v>
      </c>
      <c r="B25" s="42" t="s">
        <v>627</v>
      </c>
      <c r="C25" s="42">
        <v>5.0</v>
      </c>
      <c r="D25" s="108" t="s">
        <v>628</v>
      </c>
      <c r="E25" s="42" t="s">
        <v>537</v>
      </c>
      <c r="F25" s="42" t="s">
        <v>629</v>
      </c>
      <c r="G25" s="42">
        <v>0.5</v>
      </c>
      <c r="H25" s="42">
        <v>1.0</v>
      </c>
      <c r="I25" s="42">
        <v>1.5</v>
      </c>
      <c r="J25" s="42">
        <v>2.0</v>
      </c>
      <c r="K25" s="42">
        <v>2.5</v>
      </c>
      <c r="L25" s="30" t="s">
        <v>630</v>
      </c>
      <c r="N25" s="30" t="s">
        <v>631</v>
      </c>
      <c r="O25" s="30" t="s">
        <v>632</v>
      </c>
    </row>
    <row r="26">
      <c r="A26" s="42">
        <v>25.0</v>
      </c>
      <c r="B26" s="42" t="s">
        <v>633</v>
      </c>
      <c r="C26" s="42">
        <v>5.0</v>
      </c>
      <c r="D26" s="108" t="s">
        <v>634</v>
      </c>
      <c r="E26" s="42" t="s">
        <v>537</v>
      </c>
      <c r="F26" s="42" t="s">
        <v>635</v>
      </c>
      <c r="G26" s="42">
        <v>4.0</v>
      </c>
      <c r="H26" s="42">
        <v>8.0</v>
      </c>
      <c r="I26" s="42">
        <v>12.0</v>
      </c>
      <c r="J26" s="42">
        <v>16.0</v>
      </c>
      <c r="K26" s="42">
        <v>20.0</v>
      </c>
      <c r="L26" s="30" t="s">
        <v>636</v>
      </c>
      <c r="N26" s="30" t="s">
        <v>637</v>
      </c>
      <c r="O26" s="30" t="s">
        <v>638</v>
      </c>
    </row>
    <row r="27">
      <c r="A27" s="42">
        <v>26.0</v>
      </c>
      <c r="B27" s="42" t="s">
        <v>639</v>
      </c>
      <c r="C27" s="42">
        <v>5.0</v>
      </c>
      <c r="D27" s="108" t="s">
        <v>640</v>
      </c>
      <c r="E27" s="42" t="s">
        <v>537</v>
      </c>
      <c r="F27" s="42" t="s">
        <v>560</v>
      </c>
      <c r="G27" s="42">
        <v>5.0</v>
      </c>
      <c r="H27" s="42">
        <v>6.0</v>
      </c>
      <c r="I27" s="42">
        <v>9.0</v>
      </c>
      <c r="J27" s="42">
        <v>12.0</v>
      </c>
      <c r="K27" s="42">
        <v>15.0</v>
      </c>
      <c r="L27" s="30" t="s">
        <v>641</v>
      </c>
      <c r="N27" s="30" t="s">
        <v>642</v>
      </c>
      <c r="O27" s="30" t="s">
        <v>643</v>
      </c>
    </row>
    <row r="28">
      <c r="A28" s="42">
        <v>27.0</v>
      </c>
      <c r="B28" s="42" t="s">
        <v>644</v>
      </c>
      <c r="C28" s="42">
        <v>3.0</v>
      </c>
      <c r="D28" s="108" t="s">
        <v>645</v>
      </c>
      <c r="E28" s="42" t="s">
        <v>537</v>
      </c>
      <c r="F28" s="42" t="s">
        <v>646</v>
      </c>
      <c r="G28" s="42">
        <v>1.0</v>
      </c>
      <c r="H28" s="42">
        <v>2.0</v>
      </c>
      <c r="I28" s="42">
        <v>3.0</v>
      </c>
      <c r="L28" s="30" t="s">
        <v>647</v>
      </c>
      <c r="N28" s="30" t="s">
        <v>648</v>
      </c>
      <c r="O28" s="30" t="s">
        <v>649</v>
      </c>
    </row>
    <row r="29">
      <c r="A29" s="42">
        <v>28.0</v>
      </c>
      <c r="B29" s="42" t="s">
        <v>650</v>
      </c>
      <c r="C29" s="42">
        <v>1.0</v>
      </c>
      <c r="D29" s="108" t="s">
        <v>651</v>
      </c>
      <c r="E29" s="42" t="s">
        <v>600</v>
      </c>
      <c r="F29" s="42" t="s">
        <v>652</v>
      </c>
      <c r="L29" s="30" t="s">
        <v>653</v>
      </c>
      <c r="N29" s="42" t="s">
        <v>654</v>
      </c>
      <c r="O29" s="42" t="s">
        <v>655</v>
      </c>
    </row>
    <row r="30">
      <c r="A30" s="42">
        <v>29.0</v>
      </c>
      <c r="B30" s="42" t="s">
        <v>656</v>
      </c>
      <c r="C30" s="42">
        <v>1.0</v>
      </c>
      <c r="D30" s="108" t="s">
        <v>657</v>
      </c>
      <c r="E30" s="42" t="s">
        <v>600</v>
      </c>
      <c r="F30" s="42" t="s">
        <v>566</v>
      </c>
      <c r="L30" s="30" t="s">
        <v>658</v>
      </c>
      <c r="N30" s="42" t="s">
        <v>659</v>
      </c>
      <c r="O30" s="42" t="s">
        <v>50</v>
      </c>
    </row>
    <row r="31">
      <c r="A31" s="42">
        <v>30.0</v>
      </c>
      <c r="B31" s="42" t="s">
        <v>660</v>
      </c>
      <c r="C31" s="42">
        <v>5.0</v>
      </c>
      <c r="D31" s="108" t="s">
        <v>661</v>
      </c>
      <c r="E31" s="42" t="s">
        <v>537</v>
      </c>
      <c r="F31" s="42" t="s">
        <v>662</v>
      </c>
      <c r="G31" s="42">
        <v>4.0</v>
      </c>
      <c r="H31" s="42">
        <v>8.0</v>
      </c>
      <c r="I31" s="42">
        <v>12.0</v>
      </c>
      <c r="J31" s="42">
        <v>16.0</v>
      </c>
      <c r="K31" s="42">
        <v>20.0</v>
      </c>
      <c r="L31" s="109" t="s">
        <v>663</v>
      </c>
      <c r="N31" s="42" t="s">
        <v>664</v>
      </c>
      <c r="O31" s="42" t="s">
        <v>665</v>
      </c>
    </row>
    <row r="32">
      <c r="A32" s="42">
        <v>31.0</v>
      </c>
      <c r="B32" s="42" t="s">
        <v>666</v>
      </c>
      <c r="C32" s="42">
        <v>5.0</v>
      </c>
      <c r="D32" s="108" t="s">
        <v>667</v>
      </c>
      <c r="E32" s="42" t="s">
        <v>537</v>
      </c>
      <c r="F32" s="42" t="s">
        <v>574</v>
      </c>
      <c r="G32" s="42">
        <v>0.8</v>
      </c>
      <c r="H32" s="42">
        <v>1.6</v>
      </c>
      <c r="I32" s="42">
        <v>2.4</v>
      </c>
      <c r="J32" s="42">
        <v>3.2</v>
      </c>
      <c r="K32" s="42">
        <v>4.0</v>
      </c>
      <c r="L32" s="109" t="s">
        <v>575</v>
      </c>
      <c r="N32" s="42" t="s">
        <v>668</v>
      </c>
      <c r="O32" s="42" t="s">
        <v>669</v>
      </c>
    </row>
    <row r="33">
      <c r="A33" s="42">
        <v>32.0</v>
      </c>
      <c r="B33" s="42" t="s">
        <v>670</v>
      </c>
      <c r="C33" s="42">
        <v>5.0</v>
      </c>
      <c r="D33" s="108" t="s">
        <v>671</v>
      </c>
      <c r="E33" s="42" t="s">
        <v>537</v>
      </c>
      <c r="F33" s="42" t="s">
        <v>672</v>
      </c>
      <c r="G33" s="42">
        <v>5.0</v>
      </c>
      <c r="H33" s="42">
        <v>10.0</v>
      </c>
      <c r="I33" s="42">
        <v>15.0</v>
      </c>
      <c r="J33" s="42">
        <v>20.0</v>
      </c>
      <c r="K33" s="42">
        <v>25.0</v>
      </c>
      <c r="L33" s="109" t="s">
        <v>673</v>
      </c>
      <c r="N33" s="42" t="s">
        <v>674</v>
      </c>
      <c r="O33" s="42" t="s">
        <v>675</v>
      </c>
    </row>
    <row r="34">
      <c r="A34" s="42">
        <v>33.0</v>
      </c>
      <c r="B34" s="42" t="s">
        <v>676</v>
      </c>
      <c r="C34" s="42">
        <v>1.0</v>
      </c>
      <c r="D34" s="108" t="s">
        <v>677</v>
      </c>
      <c r="E34" s="42" t="s">
        <v>600</v>
      </c>
      <c r="F34" s="42" t="s">
        <v>678</v>
      </c>
      <c r="L34" s="109" t="s">
        <v>679</v>
      </c>
      <c r="N34" s="30" t="s">
        <v>680</v>
      </c>
      <c r="O34" s="30" t="s">
        <v>681</v>
      </c>
    </row>
    <row r="35">
      <c r="A35" s="42">
        <v>34.0</v>
      </c>
      <c r="B35" s="42" t="s">
        <v>682</v>
      </c>
      <c r="C35" s="42">
        <v>1.0</v>
      </c>
      <c r="D35" s="108" t="s">
        <v>683</v>
      </c>
      <c r="E35" s="42" t="s">
        <v>600</v>
      </c>
      <c r="F35" s="42" t="s">
        <v>684</v>
      </c>
      <c r="L35" s="109" t="s">
        <v>685</v>
      </c>
    </row>
    <row r="36">
      <c r="A36" s="42">
        <v>35.0</v>
      </c>
      <c r="B36" s="42" t="s">
        <v>686</v>
      </c>
      <c r="C36" s="42">
        <v>5.0</v>
      </c>
      <c r="D36" s="108" t="s">
        <v>687</v>
      </c>
      <c r="E36" s="42" t="s">
        <v>537</v>
      </c>
      <c r="F36" s="42" t="s">
        <v>688</v>
      </c>
      <c r="G36" s="42">
        <v>0.8</v>
      </c>
      <c r="H36" s="42">
        <v>1.6</v>
      </c>
      <c r="I36" s="42">
        <v>2.4</v>
      </c>
      <c r="J36" s="42">
        <v>3.2</v>
      </c>
      <c r="K36" s="42">
        <v>4.0</v>
      </c>
      <c r="L36" s="109" t="s">
        <v>689</v>
      </c>
    </row>
    <row r="37">
      <c r="A37" s="42">
        <v>36.0</v>
      </c>
      <c r="B37" s="42" t="s">
        <v>690</v>
      </c>
      <c r="C37" s="42">
        <v>5.0</v>
      </c>
      <c r="D37" s="108" t="s">
        <v>691</v>
      </c>
      <c r="E37" s="42" t="s">
        <v>537</v>
      </c>
      <c r="F37" s="42" t="s">
        <v>692</v>
      </c>
      <c r="G37" s="42">
        <v>8.0</v>
      </c>
      <c r="H37" s="42">
        <v>16.0</v>
      </c>
      <c r="I37" s="42">
        <v>24.0</v>
      </c>
      <c r="J37" s="42">
        <v>32.0</v>
      </c>
      <c r="K37" s="42">
        <v>40.0</v>
      </c>
      <c r="L37" s="109" t="s">
        <v>693</v>
      </c>
    </row>
    <row r="38">
      <c r="A38" s="42">
        <v>37.0</v>
      </c>
      <c r="B38" s="42" t="s">
        <v>694</v>
      </c>
      <c r="C38" s="42">
        <v>5.0</v>
      </c>
      <c r="D38" s="108" t="s">
        <v>695</v>
      </c>
      <c r="E38" s="42" t="s">
        <v>537</v>
      </c>
      <c r="F38" s="42" t="s">
        <v>696</v>
      </c>
      <c r="G38" s="42">
        <v>1.0</v>
      </c>
      <c r="H38" s="42">
        <v>2.0</v>
      </c>
      <c r="I38" s="42">
        <v>3.0</v>
      </c>
      <c r="J38" s="42">
        <v>4.0</v>
      </c>
      <c r="K38" s="42">
        <v>5.0</v>
      </c>
      <c r="L38" s="109" t="s">
        <v>697</v>
      </c>
    </row>
    <row r="39">
      <c r="A39" s="42">
        <v>38.0</v>
      </c>
      <c r="B39" s="42" t="s">
        <v>698</v>
      </c>
      <c r="C39" s="42">
        <v>5.0</v>
      </c>
      <c r="D39" s="108" t="s">
        <v>699</v>
      </c>
      <c r="E39" s="42" t="s">
        <v>537</v>
      </c>
      <c r="F39" s="42" t="s">
        <v>662</v>
      </c>
      <c r="G39" s="42">
        <v>15.0</v>
      </c>
      <c r="H39" s="42">
        <v>30.0</v>
      </c>
      <c r="I39" s="42">
        <v>45.0</v>
      </c>
      <c r="J39" s="42">
        <v>60.0</v>
      </c>
      <c r="K39" s="42">
        <v>75.0</v>
      </c>
      <c r="L39" s="109" t="s">
        <v>700</v>
      </c>
    </row>
    <row r="40">
      <c r="A40" s="42">
        <v>39.0</v>
      </c>
      <c r="B40" s="42" t="s">
        <v>701</v>
      </c>
      <c r="C40" s="42">
        <v>5.0</v>
      </c>
      <c r="D40" s="108" t="s">
        <v>702</v>
      </c>
      <c r="E40" s="42" t="s">
        <v>537</v>
      </c>
      <c r="F40" s="42" t="s">
        <v>662</v>
      </c>
      <c r="G40" s="42">
        <v>300.0</v>
      </c>
      <c r="H40" s="42">
        <v>600.0</v>
      </c>
      <c r="I40" s="42">
        <v>900.0</v>
      </c>
      <c r="J40" s="42">
        <v>1200.0</v>
      </c>
      <c r="K40" s="42">
        <v>1500.0</v>
      </c>
      <c r="L40" s="109" t="s">
        <v>703</v>
      </c>
    </row>
    <row r="41">
      <c r="A41" s="42">
        <v>40.0</v>
      </c>
      <c r="B41" s="42" t="s">
        <v>704</v>
      </c>
      <c r="C41" s="42">
        <v>5.0</v>
      </c>
      <c r="D41" s="108" t="s">
        <v>705</v>
      </c>
      <c r="E41" s="42" t="s">
        <v>537</v>
      </c>
      <c r="F41" s="42" t="s">
        <v>612</v>
      </c>
      <c r="G41" s="42">
        <v>0.4</v>
      </c>
      <c r="H41" s="42">
        <v>0.8</v>
      </c>
      <c r="I41" s="42">
        <v>1.2</v>
      </c>
      <c r="J41" s="42">
        <v>1.6</v>
      </c>
      <c r="K41" s="42">
        <v>2.0</v>
      </c>
      <c r="L41" s="109" t="s">
        <v>706</v>
      </c>
    </row>
    <row r="42">
      <c r="A42" s="42">
        <v>41.0</v>
      </c>
      <c r="B42" s="42" t="s">
        <v>707</v>
      </c>
      <c r="C42" s="42">
        <v>5.0</v>
      </c>
      <c r="D42" s="108" t="s">
        <v>708</v>
      </c>
      <c r="E42" s="42" t="s">
        <v>537</v>
      </c>
      <c r="F42" s="42" t="s">
        <v>709</v>
      </c>
      <c r="G42" s="42">
        <v>1.0</v>
      </c>
      <c r="H42" s="42">
        <v>2.0</v>
      </c>
      <c r="I42" s="42">
        <v>3.0</v>
      </c>
      <c r="J42" s="42">
        <v>4.0</v>
      </c>
      <c r="K42" s="42">
        <v>5.0</v>
      </c>
      <c r="L42" s="109" t="s">
        <v>710</v>
      </c>
    </row>
    <row r="43">
      <c r="A43" s="42">
        <v>42.0</v>
      </c>
      <c r="B43" s="42" t="s">
        <v>711</v>
      </c>
      <c r="C43" s="42">
        <v>1.0</v>
      </c>
      <c r="D43" s="108" t="s">
        <v>712</v>
      </c>
      <c r="E43" s="42" t="s">
        <v>600</v>
      </c>
      <c r="F43" s="42" t="s">
        <v>713</v>
      </c>
      <c r="L43" s="109" t="s">
        <v>714</v>
      </c>
    </row>
    <row r="44">
      <c r="A44" s="42">
        <v>43.0</v>
      </c>
      <c r="B44" s="42" t="s">
        <v>715</v>
      </c>
      <c r="C44" s="42">
        <v>1.0</v>
      </c>
      <c r="D44" s="108" t="s">
        <v>716</v>
      </c>
      <c r="E44" s="42" t="s">
        <v>600</v>
      </c>
      <c r="F44" s="42" t="s">
        <v>550</v>
      </c>
      <c r="L44" s="30" t="s">
        <v>717</v>
      </c>
    </row>
    <row r="45">
      <c r="A45" s="42">
        <v>44.0</v>
      </c>
      <c r="B45" s="111" t="s">
        <v>718</v>
      </c>
      <c r="C45" s="42">
        <v>5.0</v>
      </c>
      <c r="D45" s="108" t="s">
        <v>719</v>
      </c>
      <c r="E45" s="42" t="s">
        <v>537</v>
      </c>
      <c r="F45" s="42" t="s">
        <v>720</v>
      </c>
      <c r="G45" s="42">
        <v>0.8</v>
      </c>
      <c r="H45" s="42">
        <v>1.6</v>
      </c>
      <c r="I45" s="42">
        <v>2.4</v>
      </c>
      <c r="J45" s="42">
        <v>3.2</v>
      </c>
      <c r="K45" s="42">
        <v>4.0</v>
      </c>
      <c r="L45" s="30" t="s">
        <v>721</v>
      </c>
    </row>
    <row r="46">
      <c r="A46" s="42">
        <v>45.0</v>
      </c>
      <c r="B46" s="42" t="s">
        <v>722</v>
      </c>
      <c r="C46" s="42">
        <v>5.0</v>
      </c>
      <c r="D46" s="108" t="s">
        <v>723</v>
      </c>
      <c r="E46" s="42" t="s">
        <v>537</v>
      </c>
      <c r="F46" s="42" t="s">
        <v>538</v>
      </c>
      <c r="G46" s="42">
        <v>1.0</v>
      </c>
      <c r="H46" s="42">
        <v>1.3</v>
      </c>
      <c r="I46" s="42">
        <v>1.7</v>
      </c>
      <c r="J46" s="42">
        <v>2.1</v>
      </c>
      <c r="K46" s="42">
        <v>2.5</v>
      </c>
      <c r="L46" s="30" t="s">
        <v>724</v>
      </c>
    </row>
    <row r="47">
      <c r="A47" s="42">
        <v>46.0</v>
      </c>
      <c r="B47" s="42" t="s">
        <v>725</v>
      </c>
      <c r="C47" s="42">
        <v>5.0</v>
      </c>
      <c r="D47" s="108" t="s">
        <v>726</v>
      </c>
      <c r="E47" s="42" t="s">
        <v>537</v>
      </c>
      <c r="F47" s="42" t="s">
        <v>566</v>
      </c>
      <c r="G47" s="42">
        <v>0.4</v>
      </c>
      <c r="H47" s="42">
        <v>0.8</v>
      </c>
      <c r="I47" s="42">
        <v>1.2</v>
      </c>
      <c r="J47" s="42">
        <v>1.6</v>
      </c>
      <c r="K47" s="42">
        <v>2.0</v>
      </c>
      <c r="L47" s="30" t="s">
        <v>727</v>
      </c>
    </row>
    <row r="48">
      <c r="A48" s="42">
        <v>47.0</v>
      </c>
      <c r="B48" s="42" t="s">
        <v>728</v>
      </c>
      <c r="C48" s="42">
        <v>5.0</v>
      </c>
      <c r="D48" s="108" t="s">
        <v>729</v>
      </c>
      <c r="E48" s="42" t="s">
        <v>537</v>
      </c>
      <c r="F48" s="42" t="s">
        <v>574</v>
      </c>
      <c r="G48" s="42">
        <v>2.0</v>
      </c>
      <c r="H48" s="42">
        <v>4.0</v>
      </c>
      <c r="I48" s="42">
        <v>6.0</v>
      </c>
      <c r="J48" s="42">
        <v>8.0</v>
      </c>
      <c r="K48" s="42">
        <v>10.0</v>
      </c>
      <c r="L48" s="30" t="s">
        <v>730</v>
      </c>
    </row>
    <row r="49">
      <c r="A49" s="42">
        <v>48.0</v>
      </c>
      <c r="B49" s="42" t="s">
        <v>731</v>
      </c>
      <c r="C49" s="42">
        <v>5.0</v>
      </c>
      <c r="D49" s="111" t="s">
        <v>732</v>
      </c>
      <c r="E49" s="42" t="s">
        <v>537</v>
      </c>
      <c r="F49" s="42" t="s">
        <v>733</v>
      </c>
      <c r="G49" s="42">
        <v>2.0</v>
      </c>
      <c r="H49" s="42">
        <v>4.0</v>
      </c>
      <c r="I49" s="42">
        <v>6.0</v>
      </c>
      <c r="J49" s="42">
        <v>8.0</v>
      </c>
      <c r="K49" s="42">
        <v>10.0</v>
      </c>
      <c r="L49" s="30" t="s">
        <v>734</v>
      </c>
    </row>
    <row r="50">
      <c r="A50" s="42">
        <v>49.0</v>
      </c>
      <c r="B50" s="42" t="s">
        <v>735</v>
      </c>
      <c r="C50" s="42">
        <v>5.0</v>
      </c>
      <c r="D50" s="108" t="s">
        <v>736</v>
      </c>
      <c r="E50" s="42" t="s">
        <v>537</v>
      </c>
      <c r="F50" s="42" t="s">
        <v>737</v>
      </c>
      <c r="G50" s="42">
        <v>2.0</v>
      </c>
      <c r="H50" s="42">
        <v>4.0</v>
      </c>
      <c r="I50" s="42">
        <v>6.0</v>
      </c>
      <c r="J50" s="42">
        <v>8.0</v>
      </c>
      <c r="K50" s="42">
        <v>10.0</v>
      </c>
      <c r="L50" s="30" t="s">
        <v>738</v>
      </c>
    </row>
    <row r="51">
      <c r="A51" s="42">
        <v>50.0</v>
      </c>
      <c r="B51" s="42" t="s">
        <v>739</v>
      </c>
      <c r="C51" s="42">
        <v>5.0</v>
      </c>
      <c r="D51" s="108" t="s">
        <v>740</v>
      </c>
      <c r="E51" s="42" t="s">
        <v>537</v>
      </c>
      <c r="F51" s="42" t="s">
        <v>601</v>
      </c>
      <c r="G51" s="42">
        <v>1.5</v>
      </c>
      <c r="H51" s="42">
        <v>3.0</v>
      </c>
      <c r="I51" s="42">
        <v>4.5</v>
      </c>
      <c r="J51" s="42">
        <v>6.0</v>
      </c>
      <c r="K51" s="42">
        <v>8.0</v>
      </c>
      <c r="L51" s="30" t="s">
        <v>741</v>
      </c>
    </row>
    <row r="52">
      <c r="A52" s="42">
        <v>51.0</v>
      </c>
      <c r="B52" s="42" t="s">
        <v>742</v>
      </c>
      <c r="C52" s="42">
        <v>5.0</v>
      </c>
      <c r="D52" s="108" t="s">
        <v>743</v>
      </c>
      <c r="E52" s="42" t="s">
        <v>537</v>
      </c>
      <c r="F52" s="42" t="s">
        <v>744</v>
      </c>
      <c r="G52" s="42">
        <v>30.0</v>
      </c>
      <c r="H52" s="42">
        <v>60.0</v>
      </c>
      <c r="I52" s="42">
        <v>90.0</v>
      </c>
      <c r="J52" s="42">
        <v>120.0</v>
      </c>
      <c r="K52" s="42">
        <v>150.0</v>
      </c>
      <c r="L52" s="30" t="s">
        <v>745</v>
      </c>
    </row>
    <row r="53">
      <c r="A53" s="42">
        <v>52.0</v>
      </c>
      <c r="B53" s="42" t="s">
        <v>746</v>
      </c>
      <c r="C53" s="42">
        <v>5.0</v>
      </c>
      <c r="D53" s="108" t="s">
        <v>747</v>
      </c>
      <c r="E53" s="42" t="s">
        <v>537</v>
      </c>
      <c r="F53" s="42" t="s">
        <v>574</v>
      </c>
      <c r="G53" s="42">
        <v>2.0</v>
      </c>
      <c r="H53" s="42">
        <v>4.0</v>
      </c>
      <c r="I53" s="42">
        <v>6.0</v>
      </c>
      <c r="J53" s="42">
        <v>8.0</v>
      </c>
      <c r="K53" s="42">
        <v>10.0</v>
      </c>
      <c r="L53" s="30" t="s">
        <v>748</v>
      </c>
    </row>
    <row r="54">
      <c r="A54" s="42">
        <v>53.0</v>
      </c>
      <c r="B54" s="42" t="s">
        <v>749</v>
      </c>
      <c r="C54" s="42">
        <v>5.0</v>
      </c>
      <c r="D54" s="108" t="s">
        <v>750</v>
      </c>
      <c r="E54" s="42" t="s">
        <v>537</v>
      </c>
      <c r="F54" s="42" t="s">
        <v>744</v>
      </c>
      <c r="G54" s="42">
        <v>3.0</v>
      </c>
      <c r="H54" s="42">
        <v>6.0</v>
      </c>
      <c r="I54" s="42">
        <v>9.0</v>
      </c>
      <c r="J54" s="42">
        <v>12.0</v>
      </c>
      <c r="K54" s="42">
        <v>15.0</v>
      </c>
      <c r="L54" s="30" t="s">
        <v>751</v>
      </c>
    </row>
    <row r="55">
      <c r="A55" s="42">
        <v>54.0</v>
      </c>
      <c r="B55" s="42" t="s">
        <v>752</v>
      </c>
      <c r="C55" s="42">
        <v>1.0</v>
      </c>
      <c r="D55" s="108" t="s">
        <v>753</v>
      </c>
      <c r="E55" s="42" t="s">
        <v>600</v>
      </c>
      <c r="F55" s="42" t="s">
        <v>754</v>
      </c>
      <c r="L55" s="30" t="s">
        <v>755</v>
      </c>
    </row>
    <row r="56">
      <c r="A56" s="42">
        <v>55.0</v>
      </c>
      <c r="B56" s="42" t="s">
        <v>756</v>
      </c>
      <c r="C56" s="42">
        <v>1.0</v>
      </c>
      <c r="D56" s="108" t="s">
        <v>757</v>
      </c>
      <c r="E56" s="42" t="s">
        <v>600</v>
      </c>
      <c r="F56" s="42" t="s">
        <v>713</v>
      </c>
      <c r="L56" s="30" t="s">
        <v>758</v>
      </c>
    </row>
    <row r="57">
      <c r="A57" s="42">
        <v>56.0</v>
      </c>
      <c r="B57" s="42" t="s">
        <v>759</v>
      </c>
      <c r="C57" s="42">
        <v>5.0</v>
      </c>
      <c r="D57" s="108" t="s">
        <v>760</v>
      </c>
      <c r="E57" s="42" t="s">
        <v>537</v>
      </c>
      <c r="F57" s="42" t="s">
        <v>684</v>
      </c>
      <c r="G57" s="42">
        <v>0.3</v>
      </c>
      <c r="H57" s="42">
        <v>0.6</v>
      </c>
      <c r="I57" s="42">
        <v>0.9</v>
      </c>
      <c r="J57" s="42">
        <v>1.2</v>
      </c>
      <c r="K57" s="42">
        <v>1.5</v>
      </c>
      <c r="L57" s="30" t="s">
        <v>761</v>
      </c>
    </row>
    <row r="58">
      <c r="A58" s="42">
        <v>57.0</v>
      </c>
      <c r="B58" s="42" t="s">
        <v>762</v>
      </c>
      <c r="C58" s="42">
        <v>5.0</v>
      </c>
      <c r="D58" s="108" t="s">
        <v>763</v>
      </c>
      <c r="E58" s="42" t="s">
        <v>537</v>
      </c>
      <c r="F58" s="42" t="s">
        <v>623</v>
      </c>
      <c r="G58" s="42">
        <v>0.5</v>
      </c>
      <c r="H58" s="42">
        <v>1.0</v>
      </c>
      <c r="I58" s="42">
        <v>1.5</v>
      </c>
      <c r="J58" s="42">
        <v>2.0</v>
      </c>
      <c r="K58" s="42">
        <v>2.5</v>
      </c>
      <c r="L58" s="30" t="s">
        <v>764</v>
      </c>
    </row>
    <row r="59">
      <c r="A59" s="42">
        <v>58.0</v>
      </c>
      <c r="B59" s="42" t="s">
        <v>765</v>
      </c>
      <c r="C59" s="42">
        <v>1.0</v>
      </c>
      <c r="D59" s="108" t="s">
        <v>766</v>
      </c>
      <c r="E59" s="42" t="s">
        <v>600</v>
      </c>
      <c r="F59" s="42" t="s">
        <v>737</v>
      </c>
      <c r="L59" s="30" t="s">
        <v>767</v>
      </c>
    </row>
    <row r="60">
      <c r="A60" s="42">
        <v>59.0</v>
      </c>
      <c r="B60" s="42" t="s">
        <v>768</v>
      </c>
      <c r="C60" s="42">
        <v>1.0</v>
      </c>
      <c r="D60" s="108" t="s">
        <v>769</v>
      </c>
      <c r="E60" s="42" t="s">
        <v>600</v>
      </c>
      <c r="F60" s="42" t="s">
        <v>770</v>
      </c>
      <c r="L60" s="30" t="s">
        <v>771</v>
      </c>
    </row>
    <row r="61">
      <c r="A61" s="42">
        <v>60.0</v>
      </c>
      <c r="B61" s="42" t="s">
        <v>772</v>
      </c>
      <c r="C61" s="42">
        <v>5.0</v>
      </c>
      <c r="D61" s="108" t="s">
        <v>773</v>
      </c>
      <c r="E61" s="42" t="s">
        <v>537</v>
      </c>
      <c r="F61" s="42" t="s">
        <v>560</v>
      </c>
      <c r="G61" s="42">
        <v>15.0</v>
      </c>
      <c r="H61" s="42">
        <v>30.0</v>
      </c>
      <c r="I61" s="42">
        <v>45.0</v>
      </c>
      <c r="J61" s="42">
        <v>60.0</v>
      </c>
      <c r="K61" s="42">
        <v>75.0</v>
      </c>
      <c r="L61" s="30" t="s">
        <v>774</v>
      </c>
    </row>
    <row r="62">
      <c r="A62" s="42">
        <v>61.0</v>
      </c>
      <c r="B62" s="42" t="s">
        <v>775</v>
      </c>
      <c r="C62" s="42">
        <v>5.0</v>
      </c>
      <c r="D62" s="108" t="s">
        <v>776</v>
      </c>
      <c r="E62" s="42" t="s">
        <v>537</v>
      </c>
      <c r="F62" s="42" t="s">
        <v>542</v>
      </c>
      <c r="G62" s="42">
        <v>3.0</v>
      </c>
      <c r="H62" s="42">
        <v>6.0</v>
      </c>
      <c r="I62" s="42">
        <v>9.0</v>
      </c>
      <c r="J62" s="42">
        <v>12.0</v>
      </c>
      <c r="K62" s="42">
        <v>15.0</v>
      </c>
      <c r="L62" s="30" t="s">
        <v>777</v>
      </c>
    </row>
    <row r="63">
      <c r="A63" s="42">
        <v>62.0</v>
      </c>
      <c r="B63" s="42" t="s">
        <v>778</v>
      </c>
      <c r="C63" s="42">
        <v>5.0</v>
      </c>
      <c r="D63" s="108" t="s">
        <v>779</v>
      </c>
      <c r="E63" s="42" t="s">
        <v>537</v>
      </c>
      <c r="F63" s="42" t="s">
        <v>538</v>
      </c>
      <c r="G63" s="42">
        <v>0.5</v>
      </c>
      <c r="H63" s="42">
        <v>1.0</v>
      </c>
      <c r="I63" s="42">
        <v>1.5</v>
      </c>
      <c r="J63" s="42">
        <v>2.0</v>
      </c>
      <c r="K63" s="42">
        <v>2.5</v>
      </c>
      <c r="L63" s="30" t="s">
        <v>780</v>
      </c>
    </row>
    <row r="64">
      <c r="A64" s="42">
        <v>63.0</v>
      </c>
      <c r="B64" s="42" t="s">
        <v>781</v>
      </c>
      <c r="C64" s="42">
        <v>1.0</v>
      </c>
      <c r="D64" s="42" t="s">
        <v>782</v>
      </c>
      <c r="E64" s="42" t="s">
        <v>600</v>
      </c>
      <c r="F64" s="42" t="s">
        <v>566</v>
      </c>
      <c r="L64" s="30" t="s">
        <v>783</v>
      </c>
    </row>
    <row r="65">
      <c r="A65" s="42">
        <v>64.0</v>
      </c>
      <c r="B65" s="42" t="s">
        <v>784</v>
      </c>
      <c r="C65" s="42">
        <v>1.0</v>
      </c>
      <c r="D65" s="108" t="s">
        <v>785</v>
      </c>
      <c r="E65" s="42" t="s">
        <v>600</v>
      </c>
      <c r="F65" s="42" t="s">
        <v>733</v>
      </c>
      <c r="L65" s="30" t="s">
        <v>786</v>
      </c>
    </row>
    <row r="66">
      <c r="A66" s="42">
        <v>65.0</v>
      </c>
      <c r="B66" s="42" t="s">
        <v>787</v>
      </c>
      <c r="C66" s="42">
        <v>5.0</v>
      </c>
      <c r="D66" s="108" t="s">
        <v>788</v>
      </c>
      <c r="E66" s="42" t="s">
        <v>537</v>
      </c>
      <c r="F66" s="42" t="s">
        <v>789</v>
      </c>
      <c r="G66" s="42">
        <v>40.0</v>
      </c>
      <c r="H66" s="42">
        <v>80.0</v>
      </c>
      <c r="I66" s="42">
        <v>120.0</v>
      </c>
      <c r="J66" s="42">
        <v>160.0</v>
      </c>
      <c r="K66" s="42">
        <v>200.0</v>
      </c>
      <c r="L66" s="30" t="s">
        <v>790</v>
      </c>
    </row>
    <row r="67">
      <c r="A67" s="42">
        <v>66.0</v>
      </c>
      <c r="B67" s="42" t="s">
        <v>791</v>
      </c>
      <c r="C67" s="42">
        <v>5.0</v>
      </c>
      <c r="D67" s="108" t="s">
        <v>792</v>
      </c>
      <c r="E67" s="42" t="s">
        <v>537</v>
      </c>
      <c r="F67" s="42" t="s">
        <v>793</v>
      </c>
      <c r="G67" s="42">
        <v>1.0</v>
      </c>
      <c r="H67" s="42">
        <v>2.0</v>
      </c>
      <c r="I67" s="42">
        <v>3.0</v>
      </c>
      <c r="J67" s="42">
        <v>4.0</v>
      </c>
      <c r="K67" s="42">
        <v>5.0</v>
      </c>
      <c r="L67" s="30" t="s">
        <v>794</v>
      </c>
    </row>
    <row r="68">
      <c r="A68" s="42">
        <v>67.0</v>
      </c>
      <c r="B68" s="42" t="s">
        <v>795</v>
      </c>
      <c r="C68" s="42">
        <v>5.0</v>
      </c>
      <c r="D68" s="108" t="s">
        <v>796</v>
      </c>
      <c r="E68" s="42" t="s">
        <v>537</v>
      </c>
      <c r="F68" s="42" t="s">
        <v>594</v>
      </c>
      <c r="G68" s="42">
        <v>1.0</v>
      </c>
      <c r="H68" s="42">
        <v>2.0</v>
      </c>
      <c r="I68" s="42">
        <v>3.0</v>
      </c>
      <c r="J68" s="42">
        <v>4.0</v>
      </c>
      <c r="K68" s="42">
        <v>5.0</v>
      </c>
      <c r="L68" s="30" t="s">
        <v>797</v>
      </c>
    </row>
    <row r="69">
      <c r="A69" s="42">
        <v>68.0</v>
      </c>
      <c r="B69" s="42" t="s">
        <v>798</v>
      </c>
      <c r="C69" s="42">
        <v>5.0</v>
      </c>
      <c r="D69" s="108" t="s">
        <v>799</v>
      </c>
      <c r="E69" s="42" t="s">
        <v>537</v>
      </c>
      <c r="F69" s="42" t="s">
        <v>800</v>
      </c>
      <c r="G69" s="42">
        <v>0.5</v>
      </c>
      <c r="H69" s="42">
        <v>1.0</v>
      </c>
      <c r="I69" s="42">
        <v>1.5</v>
      </c>
      <c r="J69" s="42">
        <v>2.0</v>
      </c>
      <c r="K69" s="42">
        <v>2.5</v>
      </c>
      <c r="L69" s="30" t="s">
        <v>801</v>
      </c>
    </row>
    <row r="70">
      <c r="A70" s="42">
        <v>69.0</v>
      </c>
      <c r="B70" s="42" t="s">
        <v>802</v>
      </c>
      <c r="C70" s="42">
        <v>5.0</v>
      </c>
      <c r="D70" s="108" t="s">
        <v>803</v>
      </c>
      <c r="E70" s="42" t="s">
        <v>537</v>
      </c>
      <c r="F70" s="42" t="s">
        <v>804</v>
      </c>
      <c r="G70" s="42">
        <v>1.0</v>
      </c>
      <c r="H70" s="42">
        <v>2.0</v>
      </c>
      <c r="I70" s="42">
        <v>3.0</v>
      </c>
      <c r="J70" s="42">
        <v>4.0</v>
      </c>
      <c r="K70" s="42">
        <v>5.0</v>
      </c>
      <c r="L70" s="30" t="s">
        <v>805</v>
      </c>
    </row>
    <row r="71">
      <c r="A71" s="42">
        <v>70.0</v>
      </c>
      <c r="B71" s="42" t="s">
        <v>806</v>
      </c>
      <c r="C71" s="42">
        <v>5.0</v>
      </c>
      <c r="D71" s="108" t="s">
        <v>807</v>
      </c>
      <c r="E71" s="42" t="s">
        <v>537</v>
      </c>
      <c r="F71" s="42" t="s">
        <v>584</v>
      </c>
      <c r="G71" s="42">
        <v>1.5</v>
      </c>
      <c r="H71" s="42">
        <v>3.0</v>
      </c>
      <c r="I71" s="42">
        <v>4.5</v>
      </c>
      <c r="J71" s="42">
        <v>6.0</v>
      </c>
      <c r="K71" s="42">
        <v>7.5</v>
      </c>
      <c r="L71" s="30" t="s">
        <v>808</v>
      </c>
    </row>
    <row r="72">
      <c r="A72" s="42">
        <v>71.0</v>
      </c>
      <c r="B72" s="42" t="s">
        <v>809</v>
      </c>
      <c r="C72" s="42">
        <v>5.0</v>
      </c>
      <c r="D72" s="108" t="s">
        <v>810</v>
      </c>
      <c r="E72" s="42" t="s">
        <v>537</v>
      </c>
      <c r="F72" s="42" t="s">
        <v>811</v>
      </c>
      <c r="G72" s="42">
        <v>1.0</v>
      </c>
      <c r="H72" s="42">
        <v>2.0</v>
      </c>
      <c r="I72" s="42">
        <v>3.0</v>
      </c>
      <c r="J72" s="42">
        <v>4.0</v>
      </c>
      <c r="K72" s="42">
        <v>5.0</v>
      </c>
      <c r="L72" s="30" t="s">
        <v>812</v>
      </c>
    </row>
    <row r="73">
      <c r="A73" s="42">
        <v>72.0</v>
      </c>
      <c r="B73" s="42" t="s">
        <v>813</v>
      </c>
      <c r="C73" s="42">
        <v>5.0</v>
      </c>
      <c r="D73" s="108" t="s">
        <v>814</v>
      </c>
      <c r="E73" s="42" t="s">
        <v>537</v>
      </c>
      <c r="F73" s="42" t="s">
        <v>692</v>
      </c>
      <c r="G73" s="42">
        <v>4.0</v>
      </c>
      <c r="H73" s="42">
        <v>8.0</v>
      </c>
      <c r="I73" s="42">
        <v>12.0</v>
      </c>
      <c r="J73" s="42">
        <v>16.0</v>
      </c>
      <c r="K73" s="42">
        <v>20.0</v>
      </c>
      <c r="L73" s="30" t="s">
        <v>815</v>
      </c>
    </row>
    <row r="74">
      <c r="A74" s="42">
        <v>73.0</v>
      </c>
      <c r="B74" s="42" t="s">
        <v>816</v>
      </c>
      <c r="C74" s="42">
        <v>1.0</v>
      </c>
      <c r="D74" s="108" t="s">
        <v>817</v>
      </c>
      <c r="E74" s="42" t="s">
        <v>600</v>
      </c>
      <c r="F74" s="42" t="s">
        <v>770</v>
      </c>
      <c r="L74" s="30" t="s">
        <v>818</v>
      </c>
    </row>
    <row r="75">
      <c r="A75" s="42">
        <v>74.0</v>
      </c>
      <c r="B75" s="42" t="s">
        <v>819</v>
      </c>
      <c r="C75" s="42">
        <v>1.0</v>
      </c>
      <c r="D75" s="108" t="s">
        <v>820</v>
      </c>
      <c r="E75" s="42" t="s">
        <v>600</v>
      </c>
      <c r="F75" s="42" t="s">
        <v>696</v>
      </c>
      <c r="L75" s="30" t="s">
        <v>821</v>
      </c>
    </row>
    <row r="76">
      <c r="A76" s="42">
        <v>75.0</v>
      </c>
      <c r="B76" s="42" t="s">
        <v>644</v>
      </c>
      <c r="C76" s="42">
        <v>5.0</v>
      </c>
      <c r="D76" s="108" t="s">
        <v>645</v>
      </c>
      <c r="E76" s="42" t="s">
        <v>537</v>
      </c>
      <c r="F76" s="42" t="s">
        <v>646</v>
      </c>
      <c r="G76" s="42">
        <v>1.0</v>
      </c>
      <c r="H76" s="42">
        <v>2.0</v>
      </c>
      <c r="I76" s="42">
        <v>3.0</v>
      </c>
      <c r="J76" s="42">
        <v>4.0</v>
      </c>
      <c r="K76" s="42">
        <v>5.0</v>
      </c>
      <c r="L76" s="30" t="s">
        <v>647</v>
      </c>
    </row>
    <row r="77">
      <c r="A77" s="42">
        <v>76.0</v>
      </c>
      <c r="B77" s="42" t="s">
        <v>822</v>
      </c>
      <c r="C77" s="42">
        <v>5.0</v>
      </c>
      <c r="D77" s="108" t="s">
        <v>823</v>
      </c>
      <c r="E77" s="42" t="s">
        <v>537</v>
      </c>
      <c r="F77" s="42" t="s">
        <v>574</v>
      </c>
      <c r="G77" s="42">
        <v>2.0</v>
      </c>
      <c r="H77" s="42">
        <v>4.0</v>
      </c>
      <c r="I77" s="42">
        <v>6.0</v>
      </c>
      <c r="J77" s="42">
        <v>8.0</v>
      </c>
      <c r="K77" s="42">
        <v>10.0</v>
      </c>
      <c r="L77" s="30" t="s">
        <v>824</v>
      </c>
    </row>
    <row r="78">
      <c r="A78" s="42">
        <v>77.0</v>
      </c>
      <c r="B78" s="42" t="s">
        <v>825</v>
      </c>
      <c r="C78" s="42">
        <v>5.0</v>
      </c>
      <c r="D78" s="108" t="s">
        <v>826</v>
      </c>
      <c r="E78" s="42" t="s">
        <v>537</v>
      </c>
      <c r="F78" s="42" t="s">
        <v>560</v>
      </c>
      <c r="G78" s="42">
        <v>20.0</v>
      </c>
      <c r="H78" s="42">
        <v>40.0</v>
      </c>
      <c r="I78" s="42">
        <v>60.0</v>
      </c>
      <c r="J78" s="42">
        <v>80.0</v>
      </c>
      <c r="K78" s="42">
        <v>100.0</v>
      </c>
      <c r="L78" s="30" t="s">
        <v>827</v>
      </c>
    </row>
    <row r="79">
      <c r="A79" s="42">
        <v>78.0</v>
      </c>
      <c r="B79" s="42" t="s">
        <v>828</v>
      </c>
      <c r="C79" s="42">
        <v>5.0</v>
      </c>
      <c r="D79" s="108" t="s">
        <v>829</v>
      </c>
      <c r="E79" s="42" t="s">
        <v>537</v>
      </c>
      <c r="F79" s="42" t="s">
        <v>584</v>
      </c>
      <c r="G79" s="42">
        <v>2.0</v>
      </c>
      <c r="H79" s="42">
        <v>4.0</v>
      </c>
      <c r="I79" s="42">
        <v>6.0</v>
      </c>
      <c r="J79" s="42">
        <v>8.0</v>
      </c>
      <c r="K79" s="42">
        <v>10.0</v>
      </c>
      <c r="L79" s="30" t="s">
        <v>830</v>
      </c>
    </row>
    <row r="80">
      <c r="A80" s="42">
        <v>79.0</v>
      </c>
      <c r="B80" s="42" t="s">
        <v>831</v>
      </c>
      <c r="C80" s="42">
        <v>1.0</v>
      </c>
      <c r="D80" s="108" t="s">
        <v>832</v>
      </c>
      <c r="E80" s="42" t="s">
        <v>600</v>
      </c>
      <c r="F80" s="42" t="s">
        <v>789</v>
      </c>
      <c r="L80" s="30" t="s">
        <v>833</v>
      </c>
    </row>
    <row r="81">
      <c r="A81" s="42">
        <v>80.0</v>
      </c>
      <c r="B81" s="42" t="s">
        <v>834</v>
      </c>
      <c r="C81" s="42">
        <v>1.0</v>
      </c>
      <c r="D81" s="108" t="s">
        <v>835</v>
      </c>
      <c r="E81" s="42" t="s">
        <v>600</v>
      </c>
      <c r="F81" s="42" t="s">
        <v>836</v>
      </c>
      <c r="L81" s="30" t="s">
        <v>837</v>
      </c>
    </row>
    <row r="82">
      <c r="A82" s="42">
        <v>81.0</v>
      </c>
      <c r="B82" s="42" t="s">
        <v>838</v>
      </c>
      <c r="C82" s="42">
        <v>5.0</v>
      </c>
      <c r="D82" s="108" t="s">
        <v>839</v>
      </c>
      <c r="E82" s="42" t="s">
        <v>537</v>
      </c>
      <c r="F82" s="42" t="s">
        <v>560</v>
      </c>
      <c r="G82" s="42">
        <v>20.0</v>
      </c>
      <c r="H82" s="42">
        <v>40.0</v>
      </c>
      <c r="I82" s="42">
        <v>60.0</v>
      </c>
      <c r="J82" s="42">
        <v>80.0</v>
      </c>
      <c r="K82" s="42">
        <v>100.0</v>
      </c>
      <c r="L82" s="30" t="s">
        <v>840</v>
      </c>
    </row>
    <row r="83">
      <c r="A83" s="42">
        <v>82.0</v>
      </c>
      <c r="B83" s="42" t="s">
        <v>841</v>
      </c>
      <c r="C83" s="42">
        <v>5.0</v>
      </c>
      <c r="D83" s="108" t="s">
        <v>842</v>
      </c>
      <c r="E83" s="42" t="s">
        <v>537</v>
      </c>
      <c r="F83" s="42" t="s">
        <v>843</v>
      </c>
      <c r="G83" s="42">
        <v>2.0</v>
      </c>
      <c r="H83" s="42">
        <v>4.0</v>
      </c>
      <c r="I83" s="42">
        <v>6.0</v>
      </c>
      <c r="J83" s="42">
        <v>8.0</v>
      </c>
      <c r="K83" s="42">
        <v>10.0</v>
      </c>
      <c r="L83" s="30" t="s">
        <v>844</v>
      </c>
    </row>
    <row r="84">
      <c r="A84" s="42">
        <v>83.0</v>
      </c>
      <c r="B84" s="42" t="s">
        <v>845</v>
      </c>
      <c r="C84" s="42">
        <v>5.0</v>
      </c>
      <c r="D84" s="108" t="s">
        <v>846</v>
      </c>
      <c r="E84" s="42" t="s">
        <v>537</v>
      </c>
      <c r="F84" s="42" t="s">
        <v>847</v>
      </c>
      <c r="G84" s="42">
        <v>1.5</v>
      </c>
      <c r="H84" s="42">
        <v>3.0</v>
      </c>
      <c r="I84" s="42">
        <v>4.5</v>
      </c>
      <c r="J84" s="42">
        <v>6.0</v>
      </c>
      <c r="K84" s="42">
        <v>7.5</v>
      </c>
      <c r="L84" s="42" t="s">
        <v>848</v>
      </c>
    </row>
    <row r="85">
      <c r="A85" s="42">
        <v>84.0</v>
      </c>
      <c r="B85" s="42" t="s">
        <v>849</v>
      </c>
      <c r="C85" s="42">
        <v>5.0</v>
      </c>
      <c r="D85" s="108" t="s">
        <v>850</v>
      </c>
      <c r="E85" s="42" t="s">
        <v>537</v>
      </c>
      <c r="F85" s="42" t="s">
        <v>594</v>
      </c>
      <c r="G85" s="42">
        <v>1.0</v>
      </c>
      <c r="H85" s="42">
        <v>2.0</v>
      </c>
      <c r="I85" s="42">
        <v>3.0</v>
      </c>
      <c r="J85" s="42">
        <v>4.0</v>
      </c>
      <c r="K85" s="42">
        <v>5.0</v>
      </c>
      <c r="L85" s="42" t="s">
        <v>851</v>
      </c>
    </row>
    <row r="86">
      <c r="A86" s="42">
        <v>85.0</v>
      </c>
      <c r="B86" s="42" t="s">
        <v>852</v>
      </c>
      <c r="C86" s="42">
        <v>5.0</v>
      </c>
      <c r="D86" s="108" t="s">
        <v>853</v>
      </c>
      <c r="E86" s="42" t="s">
        <v>537</v>
      </c>
      <c r="F86" s="42" t="s">
        <v>800</v>
      </c>
      <c r="G86" s="42">
        <v>1.0</v>
      </c>
      <c r="H86" s="42">
        <v>2.0</v>
      </c>
      <c r="I86" s="42">
        <v>3.0</v>
      </c>
      <c r="J86" s="42">
        <v>4.0</v>
      </c>
      <c r="K86" s="42">
        <v>5.0</v>
      </c>
      <c r="L86" s="42" t="s">
        <v>854</v>
      </c>
    </row>
    <row r="87">
      <c r="A87" s="42">
        <v>86.0</v>
      </c>
      <c r="B87" s="42" t="s">
        <v>855</v>
      </c>
      <c r="C87" s="42">
        <v>1.0</v>
      </c>
      <c r="D87" s="108" t="s">
        <v>856</v>
      </c>
      <c r="E87" s="42" t="s">
        <v>600</v>
      </c>
      <c r="F87" s="42" t="s">
        <v>678</v>
      </c>
      <c r="L87" s="42" t="s">
        <v>857</v>
      </c>
    </row>
    <row r="88">
      <c r="A88" s="42">
        <v>87.0</v>
      </c>
      <c r="B88" s="42" t="s">
        <v>858</v>
      </c>
      <c r="C88" s="42">
        <v>1.0</v>
      </c>
      <c r="D88" s="108" t="s">
        <v>859</v>
      </c>
      <c r="E88" s="42" t="s">
        <v>600</v>
      </c>
      <c r="F88" s="111" t="s">
        <v>860</v>
      </c>
      <c r="L88" s="42" t="s">
        <v>861</v>
      </c>
    </row>
    <row r="89">
      <c r="A89" s="42">
        <v>88.0</v>
      </c>
      <c r="B89" s="42" t="s">
        <v>862</v>
      </c>
      <c r="C89" s="42">
        <v>5.0</v>
      </c>
      <c r="D89" s="108" t="s">
        <v>863</v>
      </c>
      <c r="E89" s="42" t="s">
        <v>537</v>
      </c>
      <c r="F89" s="42" t="s">
        <v>864</v>
      </c>
      <c r="G89" s="42">
        <v>0.8</v>
      </c>
      <c r="H89" s="42">
        <v>1.6</v>
      </c>
      <c r="I89" s="42">
        <v>2.4</v>
      </c>
      <c r="J89" s="42">
        <v>3.2</v>
      </c>
      <c r="K89" s="42">
        <v>4.0</v>
      </c>
      <c r="L89" s="42" t="s">
        <v>865</v>
      </c>
    </row>
    <row r="90">
      <c r="A90" s="42">
        <v>89.0</v>
      </c>
      <c r="B90" s="42" t="s">
        <v>866</v>
      </c>
      <c r="C90" s="42">
        <v>1.0</v>
      </c>
      <c r="D90" s="108" t="s">
        <v>867</v>
      </c>
      <c r="E90" s="42" t="s">
        <v>600</v>
      </c>
      <c r="F90" s="42" t="s">
        <v>868</v>
      </c>
      <c r="L90" s="42" t="s">
        <v>869</v>
      </c>
    </row>
    <row r="91">
      <c r="A91" s="42">
        <v>90.0</v>
      </c>
      <c r="B91" s="42" t="s">
        <v>870</v>
      </c>
      <c r="C91" s="42">
        <v>1.0</v>
      </c>
      <c r="D91" s="108" t="s">
        <v>871</v>
      </c>
      <c r="E91" s="42" t="s">
        <v>600</v>
      </c>
      <c r="F91" s="42" t="s">
        <v>560</v>
      </c>
      <c r="L91" s="42" t="s">
        <v>872</v>
      </c>
    </row>
    <row r="92">
      <c r="A92" s="42">
        <v>91.0</v>
      </c>
      <c r="B92" s="42" t="s">
        <v>873</v>
      </c>
      <c r="C92" s="42">
        <v>5.0</v>
      </c>
      <c r="D92" s="108" t="s">
        <v>874</v>
      </c>
      <c r="E92" s="42" t="s">
        <v>537</v>
      </c>
      <c r="F92" s="42" t="s">
        <v>584</v>
      </c>
      <c r="G92" s="42">
        <v>0.8</v>
      </c>
      <c r="H92" s="42">
        <v>1.6</v>
      </c>
      <c r="I92" s="42">
        <v>2.4</v>
      </c>
      <c r="J92" s="42">
        <v>3.2</v>
      </c>
      <c r="K92" s="42">
        <v>4.0</v>
      </c>
      <c r="L92" s="42" t="s">
        <v>875</v>
      </c>
    </row>
    <row r="93">
      <c r="A93" s="42">
        <v>92.0</v>
      </c>
      <c r="B93" s="42" t="s">
        <v>876</v>
      </c>
      <c r="C93" s="42">
        <v>5.0</v>
      </c>
      <c r="D93" s="108" t="s">
        <v>877</v>
      </c>
      <c r="E93" s="42" t="s">
        <v>537</v>
      </c>
      <c r="F93" s="42" t="s">
        <v>546</v>
      </c>
      <c r="G93" s="42">
        <v>0.6</v>
      </c>
      <c r="H93" s="42">
        <v>1.2</v>
      </c>
      <c r="I93" s="42">
        <v>1.8</v>
      </c>
      <c r="J93" s="42">
        <v>2.4</v>
      </c>
      <c r="K93" s="42">
        <v>3.0</v>
      </c>
      <c r="L93" s="42" t="s">
        <v>878</v>
      </c>
    </row>
    <row r="94">
      <c r="A94" s="42">
        <v>93.0</v>
      </c>
      <c r="B94" s="42" t="s">
        <v>879</v>
      </c>
      <c r="C94" s="42">
        <v>5.0</v>
      </c>
      <c r="D94" s="108" t="s">
        <v>880</v>
      </c>
      <c r="E94" s="42" t="s">
        <v>537</v>
      </c>
      <c r="F94" s="42" t="s">
        <v>789</v>
      </c>
      <c r="G94" s="42">
        <v>0.5</v>
      </c>
      <c r="H94" s="42">
        <v>1.0</v>
      </c>
      <c r="I94" s="42">
        <v>1.5</v>
      </c>
      <c r="J94" s="42">
        <v>2.0</v>
      </c>
      <c r="K94" s="42">
        <v>2.5</v>
      </c>
      <c r="L94" s="42" t="s">
        <v>881</v>
      </c>
    </row>
    <row r="95">
      <c r="A95" s="42">
        <v>94.0</v>
      </c>
      <c r="B95" s="42" t="s">
        <v>882</v>
      </c>
      <c r="C95" s="42">
        <v>5.0</v>
      </c>
      <c r="D95" s="108" t="s">
        <v>883</v>
      </c>
      <c r="E95" s="42" t="s">
        <v>537</v>
      </c>
      <c r="F95" s="42" t="s">
        <v>884</v>
      </c>
      <c r="G95" s="42">
        <v>2.0</v>
      </c>
      <c r="H95" s="42">
        <v>4.0</v>
      </c>
      <c r="I95" s="42">
        <v>6.0</v>
      </c>
      <c r="J95" s="42">
        <v>8.0</v>
      </c>
      <c r="K95" s="42">
        <v>10.0</v>
      </c>
      <c r="L95" s="42" t="s">
        <v>885</v>
      </c>
    </row>
    <row r="96">
      <c r="A96" s="42">
        <v>95.0</v>
      </c>
      <c r="B96" s="42" t="s">
        <v>886</v>
      </c>
      <c r="C96" s="42">
        <v>5.0</v>
      </c>
      <c r="D96" s="108" t="s">
        <v>887</v>
      </c>
      <c r="E96" s="42" t="s">
        <v>537</v>
      </c>
      <c r="F96" s="42" t="s">
        <v>560</v>
      </c>
      <c r="G96" s="42">
        <v>10.0</v>
      </c>
      <c r="H96" s="42">
        <v>20.0</v>
      </c>
      <c r="I96" s="42">
        <v>30.0</v>
      </c>
      <c r="J96" s="42">
        <v>40.0</v>
      </c>
      <c r="K96" s="42">
        <v>50.0</v>
      </c>
      <c r="L96" s="42" t="s">
        <v>888</v>
      </c>
    </row>
    <row r="97">
      <c r="A97" s="42">
        <v>96.0</v>
      </c>
      <c r="B97" s="42" t="s">
        <v>889</v>
      </c>
      <c r="C97" s="42">
        <v>5.0</v>
      </c>
      <c r="D97" s="108" t="s">
        <v>890</v>
      </c>
      <c r="E97" s="42" t="s">
        <v>537</v>
      </c>
      <c r="F97" s="42" t="s">
        <v>584</v>
      </c>
      <c r="G97" s="42">
        <v>2.0</v>
      </c>
      <c r="H97" s="42">
        <v>4.0</v>
      </c>
      <c r="I97" s="42">
        <v>6.0</v>
      </c>
      <c r="J97" s="42">
        <v>8.0</v>
      </c>
      <c r="K97" s="42">
        <v>10.0</v>
      </c>
      <c r="L97" s="42" t="s">
        <v>891</v>
      </c>
    </row>
    <row r="98">
      <c r="A98" s="42">
        <v>97.0</v>
      </c>
      <c r="B98" s="42" t="s">
        <v>892</v>
      </c>
      <c r="C98" s="42">
        <v>5.0</v>
      </c>
      <c r="D98" s="108" t="s">
        <v>893</v>
      </c>
      <c r="E98" s="42" t="s">
        <v>537</v>
      </c>
      <c r="F98" s="42" t="s">
        <v>894</v>
      </c>
      <c r="G98" s="42">
        <v>3.0</v>
      </c>
      <c r="H98" s="42">
        <v>6.0</v>
      </c>
      <c r="I98" s="42">
        <v>9.0</v>
      </c>
      <c r="J98" s="42">
        <v>12.0</v>
      </c>
      <c r="K98" s="42">
        <v>15.0</v>
      </c>
      <c r="L98" s="42" t="s">
        <v>895</v>
      </c>
    </row>
    <row r="99">
      <c r="A99" s="42">
        <v>98.0</v>
      </c>
      <c r="B99" s="42" t="s">
        <v>896</v>
      </c>
      <c r="C99" s="42">
        <v>1.0</v>
      </c>
      <c r="D99" s="108" t="s">
        <v>897</v>
      </c>
      <c r="E99" s="42" t="s">
        <v>600</v>
      </c>
      <c r="F99" s="42" t="s">
        <v>584</v>
      </c>
      <c r="L99" s="42" t="s">
        <v>898</v>
      </c>
    </row>
    <row r="100">
      <c r="A100" s="42">
        <v>99.0</v>
      </c>
      <c r="B100" s="42" t="s">
        <v>899</v>
      </c>
      <c r="C100" s="42">
        <v>1.0</v>
      </c>
      <c r="D100" s="108" t="s">
        <v>900</v>
      </c>
      <c r="E100" s="42" t="s">
        <v>600</v>
      </c>
      <c r="F100" s="42" t="s">
        <v>770</v>
      </c>
      <c r="L100" s="42" t="s">
        <v>901</v>
      </c>
    </row>
    <row r="101">
      <c r="A101" s="42">
        <v>100.0</v>
      </c>
      <c r="B101" s="42" t="s">
        <v>902</v>
      </c>
      <c r="C101" s="42">
        <v>5.0</v>
      </c>
      <c r="D101" s="108" t="s">
        <v>903</v>
      </c>
      <c r="E101" s="42" t="s">
        <v>537</v>
      </c>
      <c r="F101" s="42" t="s">
        <v>550</v>
      </c>
      <c r="G101" s="42">
        <v>0.5</v>
      </c>
      <c r="H101" s="42">
        <v>1.0</v>
      </c>
      <c r="I101" s="42">
        <v>1.5</v>
      </c>
      <c r="J101" s="42">
        <v>2.0</v>
      </c>
      <c r="K101" s="42">
        <v>2.5</v>
      </c>
      <c r="L101" s="42" t="s">
        <v>551</v>
      </c>
    </row>
    <row r="102">
      <c r="A102" s="42">
        <v>101.0</v>
      </c>
      <c r="B102" s="42" t="s">
        <v>904</v>
      </c>
      <c r="C102" s="42">
        <v>1.0</v>
      </c>
      <c r="D102" s="108" t="s">
        <v>905</v>
      </c>
      <c r="E102" s="42" t="s">
        <v>565</v>
      </c>
      <c r="F102" s="42" t="s">
        <v>733</v>
      </c>
      <c r="L102" s="42" t="s">
        <v>906</v>
      </c>
    </row>
    <row r="103">
      <c r="A103" s="42">
        <v>102.0</v>
      </c>
      <c r="B103" s="42" t="s">
        <v>907</v>
      </c>
      <c r="C103" s="42">
        <v>5.0</v>
      </c>
      <c r="D103" s="108" t="s">
        <v>908</v>
      </c>
      <c r="E103" s="42" t="s">
        <v>537</v>
      </c>
      <c r="F103" s="42" t="s">
        <v>909</v>
      </c>
      <c r="G103" s="42">
        <v>0.4</v>
      </c>
      <c r="H103" s="42">
        <v>0.8</v>
      </c>
      <c r="I103" s="42">
        <v>1.2</v>
      </c>
      <c r="J103" s="42">
        <v>1.6</v>
      </c>
      <c r="K103" s="42">
        <v>2.0</v>
      </c>
      <c r="L103" s="42" t="s">
        <v>910</v>
      </c>
    </row>
    <row r="104">
      <c r="A104" s="42">
        <v>103.0</v>
      </c>
      <c r="B104" s="42" t="s">
        <v>911</v>
      </c>
      <c r="C104" s="42">
        <v>5.0</v>
      </c>
      <c r="D104" s="108" t="s">
        <v>912</v>
      </c>
      <c r="E104" s="42" t="s">
        <v>537</v>
      </c>
      <c r="F104" s="42" t="s">
        <v>692</v>
      </c>
      <c r="G104" s="42">
        <v>6.0</v>
      </c>
      <c r="H104" s="42">
        <v>12.0</v>
      </c>
      <c r="I104" s="42">
        <v>18.0</v>
      </c>
      <c r="J104" s="42">
        <v>24.0</v>
      </c>
      <c r="K104" s="42">
        <v>30.0</v>
      </c>
      <c r="L104" s="42" t="s">
        <v>913</v>
      </c>
    </row>
    <row r="105">
      <c r="A105" s="42">
        <v>104.0</v>
      </c>
      <c r="B105" s="42" t="s">
        <v>914</v>
      </c>
      <c r="C105" s="42">
        <v>1.0</v>
      </c>
      <c r="D105" s="108" t="s">
        <v>915</v>
      </c>
      <c r="E105" s="42" t="s">
        <v>600</v>
      </c>
      <c r="F105" s="42" t="s">
        <v>554</v>
      </c>
      <c r="L105" s="42" t="s">
        <v>916</v>
      </c>
    </row>
    <row r="106">
      <c r="A106" s="42">
        <v>105.0</v>
      </c>
      <c r="B106" s="42" t="s">
        <v>917</v>
      </c>
      <c r="C106" s="42">
        <v>1.0</v>
      </c>
      <c r="D106" s="108" t="s">
        <v>918</v>
      </c>
      <c r="E106" s="42" t="s">
        <v>600</v>
      </c>
      <c r="F106" s="42" t="s">
        <v>868</v>
      </c>
      <c r="L106" s="42" t="s">
        <v>919</v>
      </c>
    </row>
    <row r="107">
      <c r="A107" s="42">
        <v>106.0</v>
      </c>
      <c r="B107" s="42" t="s">
        <v>920</v>
      </c>
      <c r="C107" s="42">
        <v>5.0</v>
      </c>
      <c r="D107" s="108" t="s">
        <v>921</v>
      </c>
      <c r="E107" s="42" t="s">
        <v>537</v>
      </c>
      <c r="F107" s="42" t="s">
        <v>800</v>
      </c>
      <c r="G107" s="42">
        <v>3.0</v>
      </c>
      <c r="H107" s="42">
        <v>6.0</v>
      </c>
      <c r="I107" s="42">
        <v>9.0</v>
      </c>
      <c r="J107" s="42">
        <v>12.0</v>
      </c>
      <c r="K107" s="42">
        <v>15.0</v>
      </c>
      <c r="L107" s="42" t="s">
        <v>922</v>
      </c>
    </row>
    <row r="108">
      <c r="A108" s="42">
        <v>107.0</v>
      </c>
      <c r="B108" s="42" t="s">
        <v>923</v>
      </c>
      <c r="C108" s="42">
        <v>5.0</v>
      </c>
      <c r="D108" s="108" t="s">
        <v>924</v>
      </c>
      <c r="E108" s="42" t="s">
        <v>537</v>
      </c>
      <c r="F108" s="42" t="s">
        <v>538</v>
      </c>
      <c r="G108" s="42">
        <v>0.2</v>
      </c>
      <c r="H108" s="42">
        <v>0.4</v>
      </c>
      <c r="I108" s="42">
        <v>0.6</v>
      </c>
      <c r="J108" s="42">
        <v>0.8</v>
      </c>
      <c r="K108" s="42">
        <v>1.0</v>
      </c>
      <c r="L108" s="42" t="s">
        <v>925</v>
      </c>
    </row>
    <row r="109">
      <c r="A109" s="42">
        <v>108.0</v>
      </c>
      <c r="B109" s="42" t="s">
        <v>926</v>
      </c>
      <c r="C109" s="42">
        <v>5.0</v>
      </c>
      <c r="D109" s="108" t="s">
        <v>927</v>
      </c>
      <c r="E109" s="42" t="s">
        <v>537</v>
      </c>
      <c r="F109" s="42" t="s">
        <v>754</v>
      </c>
      <c r="G109" s="42">
        <v>0.5</v>
      </c>
      <c r="H109" s="42">
        <v>1.0</v>
      </c>
      <c r="I109" s="42">
        <v>1.5</v>
      </c>
      <c r="J109" s="42">
        <v>2.0</v>
      </c>
      <c r="K109" s="42">
        <v>2.5</v>
      </c>
      <c r="L109" s="42" t="s">
        <v>928</v>
      </c>
    </row>
    <row r="110">
      <c r="A110" s="42">
        <v>109.0</v>
      </c>
      <c r="B110" s="42" t="s">
        <v>929</v>
      </c>
      <c r="C110" s="42">
        <v>5.0</v>
      </c>
      <c r="D110" s="108" t="s">
        <v>930</v>
      </c>
      <c r="E110" s="42" t="s">
        <v>537</v>
      </c>
      <c r="F110" s="42" t="s">
        <v>931</v>
      </c>
      <c r="G110" s="42">
        <v>3.0</v>
      </c>
      <c r="H110" s="42">
        <v>6.0</v>
      </c>
      <c r="I110" s="42">
        <v>9.0</v>
      </c>
      <c r="J110" s="42">
        <v>12.0</v>
      </c>
      <c r="K110" s="42">
        <v>15.0</v>
      </c>
      <c r="L110" s="42" t="s">
        <v>932</v>
      </c>
    </row>
    <row r="111">
      <c r="A111" s="42">
        <v>110.0</v>
      </c>
      <c r="B111" s="42" t="s">
        <v>933</v>
      </c>
      <c r="C111" s="42">
        <v>5.0</v>
      </c>
      <c r="D111" s="108" t="s">
        <v>934</v>
      </c>
      <c r="E111" s="42" t="s">
        <v>537</v>
      </c>
      <c r="F111" s="42" t="s">
        <v>836</v>
      </c>
      <c r="G111" s="42">
        <v>20.0</v>
      </c>
      <c r="H111" s="42">
        <v>40.0</v>
      </c>
      <c r="I111" s="42">
        <v>60.0</v>
      </c>
      <c r="J111" s="42">
        <v>80.0</v>
      </c>
      <c r="K111" s="42">
        <v>100.0</v>
      </c>
      <c r="L111" s="42" t="s">
        <v>935</v>
      </c>
    </row>
    <row r="112">
      <c r="A112" s="42">
        <v>111.0</v>
      </c>
      <c r="B112" s="42" t="s">
        <v>936</v>
      </c>
      <c r="C112" s="42">
        <v>5.0</v>
      </c>
      <c r="D112" s="108" t="s">
        <v>937</v>
      </c>
      <c r="E112" s="42" t="s">
        <v>537</v>
      </c>
      <c r="F112" s="42" t="s">
        <v>843</v>
      </c>
      <c r="G112" s="42">
        <v>4.0</v>
      </c>
      <c r="H112" s="42">
        <v>8.0</v>
      </c>
      <c r="I112" s="42">
        <v>12.0</v>
      </c>
      <c r="J112" s="42">
        <v>16.0</v>
      </c>
      <c r="K112" s="42">
        <v>20.0</v>
      </c>
      <c r="L112" s="42" t="s">
        <v>938</v>
      </c>
    </row>
    <row r="113">
      <c r="A113" s="42">
        <v>112.0</v>
      </c>
      <c r="B113" s="42" t="s">
        <v>939</v>
      </c>
      <c r="C113" s="42">
        <v>1.0</v>
      </c>
      <c r="D113" s="112" t="s">
        <v>940</v>
      </c>
      <c r="E113" s="42" t="s">
        <v>600</v>
      </c>
      <c r="F113" s="42" t="s">
        <v>584</v>
      </c>
      <c r="L113" s="42" t="s">
        <v>941</v>
      </c>
    </row>
    <row r="114">
      <c r="A114" s="42">
        <v>113.0</v>
      </c>
      <c r="B114" s="42" t="s">
        <v>942</v>
      </c>
      <c r="C114" s="42">
        <v>1.0</v>
      </c>
      <c r="D114" s="108" t="s">
        <v>943</v>
      </c>
      <c r="E114" s="42" t="s">
        <v>600</v>
      </c>
      <c r="F114" s="42" t="s">
        <v>944</v>
      </c>
      <c r="L114" s="42" t="s">
        <v>945</v>
      </c>
    </row>
    <row r="115">
      <c r="A115" s="42">
        <v>114.0</v>
      </c>
      <c r="B115" s="42" t="s">
        <v>946</v>
      </c>
      <c r="C115" s="42">
        <v>5.0</v>
      </c>
      <c r="D115" s="108" t="s">
        <v>947</v>
      </c>
      <c r="E115" s="42" t="s">
        <v>537</v>
      </c>
      <c r="F115" s="42" t="s">
        <v>546</v>
      </c>
      <c r="G115" s="42">
        <v>0.5</v>
      </c>
      <c r="H115" s="42">
        <v>1.0</v>
      </c>
      <c r="I115" s="42">
        <v>1.5</v>
      </c>
      <c r="J115" s="42">
        <v>2.0</v>
      </c>
      <c r="K115" s="42">
        <v>2.5</v>
      </c>
      <c r="L115" s="42" t="s">
        <v>948</v>
      </c>
    </row>
    <row r="116">
      <c r="A116" s="42">
        <v>115.0</v>
      </c>
      <c r="B116" s="42" t="s">
        <v>949</v>
      </c>
      <c r="C116" s="42">
        <v>5.0</v>
      </c>
      <c r="D116" s="108" t="s">
        <v>950</v>
      </c>
      <c r="E116" s="42" t="s">
        <v>537</v>
      </c>
      <c r="F116" s="42" t="s">
        <v>542</v>
      </c>
      <c r="G116" s="42">
        <v>3.0</v>
      </c>
      <c r="H116" s="42">
        <v>6.0</v>
      </c>
      <c r="I116" s="42">
        <v>9.0</v>
      </c>
      <c r="J116" s="42">
        <v>12.0</v>
      </c>
      <c r="K116" s="42">
        <v>15.0</v>
      </c>
      <c r="L116" s="42" t="s">
        <v>951</v>
      </c>
    </row>
    <row r="117">
      <c r="A117" s="42">
        <v>116.0</v>
      </c>
      <c r="B117" s="42" t="s">
        <v>952</v>
      </c>
      <c r="C117" s="42">
        <v>5.0</v>
      </c>
      <c r="D117" s="108" t="s">
        <v>953</v>
      </c>
      <c r="E117" s="42" t="s">
        <v>537</v>
      </c>
      <c r="F117" s="42" t="s">
        <v>692</v>
      </c>
      <c r="G117" s="42">
        <v>6.0</v>
      </c>
      <c r="H117" s="42">
        <v>12.0</v>
      </c>
      <c r="I117" s="42">
        <v>18.0</v>
      </c>
      <c r="J117" s="42">
        <v>24.0</v>
      </c>
      <c r="K117" s="42">
        <v>30.0</v>
      </c>
      <c r="L117" s="42" t="s">
        <v>954</v>
      </c>
    </row>
    <row r="118">
      <c r="A118" s="42">
        <v>117.0</v>
      </c>
      <c r="B118" s="42" t="s">
        <v>955</v>
      </c>
      <c r="C118" s="42">
        <v>5.0</v>
      </c>
      <c r="D118" s="108" t="s">
        <v>956</v>
      </c>
      <c r="E118" s="42" t="s">
        <v>537</v>
      </c>
      <c r="F118" s="42" t="s">
        <v>957</v>
      </c>
      <c r="G118" s="42">
        <v>1.0</v>
      </c>
      <c r="H118" s="42">
        <v>2.0</v>
      </c>
      <c r="I118" s="42">
        <v>3.0</v>
      </c>
      <c r="J118" s="42">
        <v>4.0</v>
      </c>
      <c r="K118" s="42">
        <v>5.0</v>
      </c>
      <c r="L118" s="42" t="s">
        <v>958</v>
      </c>
    </row>
    <row r="119">
      <c r="A119" s="42">
        <v>118.0</v>
      </c>
      <c r="B119" s="42" t="s">
        <v>959</v>
      </c>
      <c r="C119" s="42">
        <v>1.0</v>
      </c>
      <c r="D119" s="108" t="s">
        <v>960</v>
      </c>
      <c r="E119" s="42" t="s">
        <v>600</v>
      </c>
      <c r="F119" s="42" t="s">
        <v>546</v>
      </c>
      <c r="L119" s="42" t="s">
        <v>961</v>
      </c>
    </row>
    <row r="120">
      <c r="A120" s="42">
        <v>119.0</v>
      </c>
      <c r="B120" s="42" t="s">
        <v>962</v>
      </c>
      <c r="C120" s="42">
        <v>1.0</v>
      </c>
      <c r="D120" s="108" t="s">
        <v>963</v>
      </c>
      <c r="E120" s="42" t="s">
        <v>600</v>
      </c>
      <c r="F120" s="42" t="s">
        <v>652</v>
      </c>
      <c r="L120" s="42" t="s">
        <v>964</v>
      </c>
    </row>
    <row r="121">
      <c r="A121" s="42">
        <v>120.0</v>
      </c>
      <c r="B121" s="42" t="s">
        <v>965</v>
      </c>
      <c r="C121" s="42">
        <v>5.0</v>
      </c>
      <c r="D121" s="108" t="s">
        <v>966</v>
      </c>
      <c r="E121" s="42" t="s">
        <v>537</v>
      </c>
      <c r="F121" s="42" t="s">
        <v>967</v>
      </c>
      <c r="G121" s="42">
        <v>0.4</v>
      </c>
      <c r="H121" s="42">
        <v>0.8</v>
      </c>
      <c r="I121" s="42">
        <v>1.2</v>
      </c>
      <c r="J121" s="42">
        <v>1.6</v>
      </c>
      <c r="K121" s="42">
        <v>2.0</v>
      </c>
      <c r="L121" s="42" t="s">
        <v>968</v>
      </c>
    </row>
    <row r="122">
      <c r="A122" s="42">
        <v>121.0</v>
      </c>
      <c r="B122" s="42" t="s">
        <v>969</v>
      </c>
      <c r="C122" s="42">
        <v>5.0</v>
      </c>
      <c r="D122" s="108" t="s">
        <v>970</v>
      </c>
      <c r="E122" s="42" t="s">
        <v>537</v>
      </c>
      <c r="F122" s="42" t="s">
        <v>793</v>
      </c>
      <c r="G122" s="42">
        <v>1.0</v>
      </c>
      <c r="H122" s="42">
        <v>2.0</v>
      </c>
      <c r="I122" s="42">
        <v>3.0</v>
      </c>
      <c r="J122" s="42">
        <v>4.0</v>
      </c>
      <c r="K122" s="42">
        <v>5.0</v>
      </c>
      <c r="L122" s="42" t="s">
        <v>971</v>
      </c>
    </row>
    <row r="123">
      <c r="A123" s="42">
        <v>122.0</v>
      </c>
      <c r="B123" s="42" t="s">
        <v>972</v>
      </c>
      <c r="C123" s="42">
        <v>5.0</v>
      </c>
      <c r="D123" s="108" t="s">
        <v>973</v>
      </c>
      <c r="E123" s="42" t="s">
        <v>537</v>
      </c>
      <c r="F123" s="111" t="s">
        <v>860</v>
      </c>
      <c r="G123" s="42">
        <v>30.0</v>
      </c>
      <c r="H123" s="42">
        <v>60.0</v>
      </c>
      <c r="I123" s="42">
        <v>90.0</v>
      </c>
      <c r="J123" s="42">
        <v>120.0</v>
      </c>
      <c r="K123" s="42">
        <v>150.0</v>
      </c>
      <c r="L123" s="42" t="s">
        <v>974</v>
      </c>
    </row>
    <row r="124">
      <c r="A124" s="42">
        <v>123.0</v>
      </c>
      <c r="B124" s="42" t="s">
        <v>975</v>
      </c>
      <c r="C124" s="42">
        <v>5.0</v>
      </c>
      <c r="D124" s="108" t="s">
        <v>976</v>
      </c>
      <c r="E124" s="42" t="s">
        <v>537</v>
      </c>
      <c r="F124" s="42" t="s">
        <v>977</v>
      </c>
      <c r="G124" s="42">
        <v>1.0</v>
      </c>
      <c r="H124" s="42">
        <v>2.0</v>
      </c>
      <c r="I124" s="42">
        <v>3.0</v>
      </c>
      <c r="J124" s="42">
        <v>4.0</v>
      </c>
      <c r="K124" s="42">
        <v>5.0</v>
      </c>
      <c r="L124" s="42" t="s">
        <v>978</v>
      </c>
    </row>
    <row r="125">
      <c r="A125" s="42">
        <v>124.0</v>
      </c>
      <c r="B125" s="42" t="s">
        <v>979</v>
      </c>
      <c r="C125" s="42">
        <v>5.0</v>
      </c>
      <c r="D125" s="108" t="s">
        <v>980</v>
      </c>
      <c r="E125" s="42" t="s">
        <v>537</v>
      </c>
      <c r="F125" s="42" t="s">
        <v>789</v>
      </c>
      <c r="G125" s="42">
        <v>1.0</v>
      </c>
      <c r="H125" s="42">
        <v>2.0</v>
      </c>
      <c r="I125" s="42">
        <v>3.0</v>
      </c>
      <c r="J125" s="42">
        <v>4.0</v>
      </c>
      <c r="K125" s="42">
        <v>5.0</v>
      </c>
      <c r="L125" s="42" t="s">
        <v>981</v>
      </c>
    </row>
    <row r="126">
      <c r="A126" s="42">
        <v>125.0</v>
      </c>
      <c r="B126" s="42" t="s">
        <v>982</v>
      </c>
      <c r="C126" s="42">
        <v>1.0</v>
      </c>
      <c r="D126" s="108" t="s">
        <v>983</v>
      </c>
      <c r="E126" s="42" t="s">
        <v>600</v>
      </c>
      <c r="F126" s="42" t="s">
        <v>560</v>
      </c>
      <c r="L126" s="42" t="s">
        <v>984</v>
      </c>
    </row>
    <row r="127">
      <c r="A127" s="42">
        <v>126.0</v>
      </c>
      <c r="B127" s="42" t="s">
        <v>985</v>
      </c>
      <c r="C127" s="42">
        <v>1.0</v>
      </c>
      <c r="D127" s="108" t="s">
        <v>986</v>
      </c>
      <c r="E127" s="42" t="s">
        <v>600</v>
      </c>
      <c r="F127" s="42" t="s">
        <v>864</v>
      </c>
      <c r="L127" s="42" t="s">
        <v>987</v>
      </c>
    </row>
    <row r="128">
      <c r="A128" s="42">
        <v>127.0</v>
      </c>
      <c r="B128" s="42" t="s">
        <v>988</v>
      </c>
      <c r="C128" s="42">
        <v>5.0</v>
      </c>
      <c r="D128" s="108" t="s">
        <v>989</v>
      </c>
      <c r="E128" s="42" t="s">
        <v>537</v>
      </c>
      <c r="F128" s="42" t="s">
        <v>688</v>
      </c>
      <c r="G128" s="42">
        <v>2.0</v>
      </c>
      <c r="H128" s="42">
        <v>4.0</v>
      </c>
      <c r="I128" s="42">
        <v>6.0</v>
      </c>
      <c r="J128" s="42">
        <v>8.0</v>
      </c>
      <c r="K128" s="42">
        <v>10.0</v>
      </c>
      <c r="L128" s="42" t="s">
        <v>990</v>
      </c>
    </row>
    <row r="129">
      <c r="A129" s="42">
        <v>128.0</v>
      </c>
      <c r="B129" s="42" t="s">
        <v>991</v>
      </c>
      <c r="C129" s="42">
        <v>5.0</v>
      </c>
      <c r="D129" s="108" t="s">
        <v>992</v>
      </c>
      <c r="E129" s="42" t="s">
        <v>537</v>
      </c>
      <c r="F129" s="42" t="s">
        <v>574</v>
      </c>
      <c r="G129" s="42">
        <v>2.0</v>
      </c>
      <c r="H129" s="42">
        <v>4.0</v>
      </c>
      <c r="I129" s="42">
        <v>6.0</v>
      </c>
      <c r="J129" s="42">
        <v>8.0</v>
      </c>
      <c r="K129" s="42">
        <v>10.0</v>
      </c>
      <c r="L129" s="42" t="s">
        <v>993</v>
      </c>
    </row>
    <row r="130">
      <c r="A130" s="42">
        <v>129.0</v>
      </c>
      <c r="B130" s="42" t="s">
        <v>994</v>
      </c>
      <c r="C130" s="42">
        <v>5.0</v>
      </c>
      <c r="D130" s="108" t="s">
        <v>995</v>
      </c>
      <c r="E130" s="42" t="s">
        <v>537</v>
      </c>
      <c r="F130" s="42" t="s">
        <v>546</v>
      </c>
      <c r="G130" s="42">
        <v>5.0</v>
      </c>
      <c r="H130" s="42">
        <v>10.0</v>
      </c>
      <c r="I130" s="42">
        <v>15.0</v>
      </c>
      <c r="J130" s="42">
        <v>20.0</v>
      </c>
      <c r="K130" s="42">
        <v>25.0</v>
      </c>
      <c r="L130" s="42" t="s">
        <v>996</v>
      </c>
    </row>
    <row r="131">
      <c r="A131" s="42">
        <v>130.0</v>
      </c>
      <c r="B131" s="42" t="s">
        <v>997</v>
      </c>
      <c r="C131" s="42">
        <v>1.0</v>
      </c>
      <c r="D131" s="108" t="s">
        <v>998</v>
      </c>
      <c r="E131" s="42" t="s">
        <v>600</v>
      </c>
      <c r="F131" s="42" t="s">
        <v>804</v>
      </c>
      <c r="L131" s="42" t="s">
        <v>999</v>
      </c>
    </row>
    <row r="132">
      <c r="A132" s="42">
        <v>131.0</v>
      </c>
      <c r="B132" s="42" t="s">
        <v>1000</v>
      </c>
      <c r="C132" s="42">
        <v>1.0</v>
      </c>
      <c r="D132" s="108" t="s">
        <v>1001</v>
      </c>
      <c r="E132" s="42" t="s">
        <v>600</v>
      </c>
      <c r="F132" s="42" t="s">
        <v>678</v>
      </c>
      <c r="L132" s="42" t="s">
        <v>1002</v>
      </c>
    </row>
    <row r="133">
      <c r="A133" s="42">
        <v>132.0</v>
      </c>
      <c r="B133" s="42" t="s">
        <v>1003</v>
      </c>
      <c r="C133" s="42">
        <v>5.0</v>
      </c>
      <c r="D133" s="108" t="s">
        <v>1004</v>
      </c>
      <c r="E133" s="42" t="s">
        <v>537</v>
      </c>
      <c r="F133" s="42" t="s">
        <v>720</v>
      </c>
      <c r="G133" s="42">
        <v>2.0</v>
      </c>
      <c r="H133" s="42">
        <v>4.0</v>
      </c>
      <c r="I133" s="42">
        <v>6.0</v>
      </c>
      <c r="J133" s="42">
        <v>8.0</v>
      </c>
      <c r="K133" s="42">
        <v>10.0</v>
      </c>
      <c r="L133" s="42" t="s">
        <v>1005</v>
      </c>
    </row>
    <row r="134">
      <c r="A134" s="42">
        <v>133.0</v>
      </c>
      <c r="B134" s="42" t="s">
        <v>1006</v>
      </c>
      <c r="C134" s="42">
        <v>5.0</v>
      </c>
      <c r="D134" s="108" t="s">
        <v>1007</v>
      </c>
      <c r="E134" s="42" t="s">
        <v>537</v>
      </c>
      <c r="F134" s="42" t="s">
        <v>584</v>
      </c>
      <c r="G134" s="42">
        <v>2.0</v>
      </c>
      <c r="H134" s="42">
        <v>4.0</v>
      </c>
      <c r="I134" s="42">
        <v>6.0</v>
      </c>
      <c r="J134" s="42">
        <v>8.0</v>
      </c>
      <c r="K134" s="42">
        <v>10.0</v>
      </c>
      <c r="L134" s="42" t="s">
        <v>1008</v>
      </c>
    </row>
    <row r="135">
      <c r="A135" s="42">
        <v>134.0</v>
      </c>
      <c r="B135" s="42" t="s">
        <v>1009</v>
      </c>
      <c r="C135" s="42">
        <v>5.0</v>
      </c>
      <c r="D135" s="108" t="s">
        <v>1010</v>
      </c>
      <c r="E135" s="42" t="s">
        <v>537</v>
      </c>
      <c r="F135" s="42" t="s">
        <v>612</v>
      </c>
      <c r="G135" s="42">
        <v>2.0</v>
      </c>
      <c r="H135" s="42">
        <v>4.0</v>
      </c>
      <c r="I135" s="42">
        <v>6.0</v>
      </c>
      <c r="J135" s="42">
        <v>8.0</v>
      </c>
      <c r="K135" s="42">
        <v>10.0</v>
      </c>
      <c r="L135" s="30" t="s">
        <v>1011</v>
      </c>
    </row>
    <row r="136">
      <c r="A136" s="42">
        <v>135.0</v>
      </c>
      <c r="B136" s="42" t="s">
        <v>1012</v>
      </c>
      <c r="C136" s="42">
        <v>5.0</v>
      </c>
      <c r="D136" s="108" t="s">
        <v>1013</v>
      </c>
      <c r="E136" s="42" t="s">
        <v>537</v>
      </c>
      <c r="F136" s="42" t="s">
        <v>560</v>
      </c>
      <c r="G136" s="42">
        <v>20.0</v>
      </c>
      <c r="H136" s="42">
        <v>40.0</v>
      </c>
      <c r="I136" s="42">
        <v>60.0</v>
      </c>
      <c r="J136" s="42">
        <v>80.0</v>
      </c>
      <c r="K136" s="42">
        <v>100.0</v>
      </c>
      <c r="L136" s="42" t="s">
        <v>1014</v>
      </c>
    </row>
    <row r="137">
      <c r="A137" s="42">
        <v>136.0</v>
      </c>
      <c r="B137" s="42" t="s">
        <v>1015</v>
      </c>
      <c r="C137" s="42">
        <v>5.0</v>
      </c>
      <c r="D137" s="108" t="s">
        <v>1016</v>
      </c>
      <c r="E137" s="42" t="s">
        <v>537</v>
      </c>
      <c r="F137" s="42" t="s">
        <v>538</v>
      </c>
      <c r="G137" s="42">
        <v>5.0</v>
      </c>
      <c r="H137" s="42">
        <v>10.0</v>
      </c>
      <c r="I137" s="42">
        <v>15.0</v>
      </c>
      <c r="J137" s="42">
        <v>20.0</v>
      </c>
      <c r="K137" s="42">
        <v>25.0</v>
      </c>
      <c r="L137" s="42" t="s">
        <v>1017</v>
      </c>
    </row>
    <row r="138">
      <c r="A138" s="42">
        <v>137.0</v>
      </c>
      <c r="B138" s="42" t="s">
        <v>1018</v>
      </c>
      <c r="C138" s="42">
        <v>5.0</v>
      </c>
      <c r="D138" s="108" t="s">
        <v>1019</v>
      </c>
      <c r="E138" s="42" t="s">
        <v>537</v>
      </c>
      <c r="F138" s="42" t="s">
        <v>594</v>
      </c>
      <c r="G138" s="42">
        <v>1.0</v>
      </c>
      <c r="H138" s="42">
        <v>2.0</v>
      </c>
      <c r="I138" s="42">
        <v>3.0</v>
      </c>
      <c r="J138" s="42">
        <v>4.0</v>
      </c>
      <c r="K138" s="42">
        <v>5.0</v>
      </c>
      <c r="L138" s="42" t="s">
        <v>1020</v>
      </c>
    </row>
    <row r="139">
      <c r="A139" s="42">
        <v>138.0</v>
      </c>
      <c r="B139" s="42" t="s">
        <v>1021</v>
      </c>
      <c r="C139" s="42">
        <v>5.0</v>
      </c>
      <c r="D139" s="108" t="s">
        <v>1022</v>
      </c>
      <c r="E139" s="42" t="s">
        <v>537</v>
      </c>
      <c r="F139" s="42" t="s">
        <v>560</v>
      </c>
      <c r="G139" s="42">
        <v>20.0</v>
      </c>
      <c r="H139" s="42">
        <v>40.0</v>
      </c>
      <c r="I139" s="42">
        <v>60.0</v>
      </c>
      <c r="J139" s="42">
        <v>80.0</v>
      </c>
      <c r="K139" s="42">
        <v>100.0</v>
      </c>
      <c r="L139" s="30" t="s">
        <v>1023</v>
      </c>
    </row>
    <row r="140">
      <c r="A140" s="42">
        <v>139.0</v>
      </c>
      <c r="B140" s="42" t="s">
        <v>1024</v>
      </c>
      <c r="C140" s="42">
        <v>5.0</v>
      </c>
      <c r="D140" s="108" t="s">
        <v>1025</v>
      </c>
      <c r="E140" s="42" t="s">
        <v>537</v>
      </c>
      <c r="F140" s="42" t="s">
        <v>1026</v>
      </c>
      <c r="G140" s="42">
        <v>1.0</v>
      </c>
      <c r="H140" s="42">
        <v>2.0</v>
      </c>
      <c r="I140" s="42">
        <v>3.0</v>
      </c>
      <c r="J140" s="42">
        <v>4.0</v>
      </c>
      <c r="K140" s="42">
        <v>5.0</v>
      </c>
      <c r="L140" s="30" t="s">
        <v>1027</v>
      </c>
    </row>
    <row r="141">
      <c r="A141" s="42">
        <v>140.0</v>
      </c>
      <c r="B141" s="42" t="s">
        <v>1028</v>
      </c>
      <c r="C141" s="42">
        <v>1.0</v>
      </c>
      <c r="D141" s="108" t="s">
        <v>1029</v>
      </c>
      <c r="E141" s="42" t="s">
        <v>600</v>
      </c>
      <c r="F141" s="42" t="s">
        <v>612</v>
      </c>
      <c r="L141" s="42" t="s">
        <v>1030</v>
      </c>
    </row>
    <row r="142">
      <c r="A142" s="42">
        <v>141.0</v>
      </c>
      <c r="B142" s="42" t="s">
        <v>1031</v>
      </c>
      <c r="C142" s="42">
        <v>1.0</v>
      </c>
      <c r="D142" s="108" t="s">
        <v>1032</v>
      </c>
      <c r="E142" s="42" t="s">
        <v>600</v>
      </c>
      <c r="F142" s="42" t="s">
        <v>696</v>
      </c>
      <c r="L142" s="42" t="s">
        <v>1033</v>
      </c>
    </row>
    <row r="143">
      <c r="A143" s="42">
        <v>142.0</v>
      </c>
      <c r="B143" s="42" t="s">
        <v>1034</v>
      </c>
      <c r="C143" s="42">
        <v>1.0</v>
      </c>
      <c r="D143" s="108" t="s">
        <v>1035</v>
      </c>
      <c r="E143" s="42" t="s">
        <v>600</v>
      </c>
      <c r="F143" s="42" t="s">
        <v>546</v>
      </c>
      <c r="L143" s="42" t="s">
        <v>1036</v>
      </c>
    </row>
    <row r="144">
      <c r="A144" s="42">
        <v>143.0</v>
      </c>
      <c r="B144" s="42" t="s">
        <v>1037</v>
      </c>
      <c r="C144" s="42">
        <v>1.0</v>
      </c>
      <c r="D144" s="108" t="s">
        <v>1038</v>
      </c>
      <c r="E144" s="42" t="s">
        <v>600</v>
      </c>
      <c r="F144" s="42" t="s">
        <v>612</v>
      </c>
      <c r="L144" s="42" t="s">
        <v>1039</v>
      </c>
    </row>
    <row r="145">
      <c r="A145" s="42">
        <v>144.0</v>
      </c>
      <c r="B145" s="42" t="s">
        <v>1040</v>
      </c>
      <c r="C145" s="42">
        <v>5.0</v>
      </c>
      <c r="D145" s="108" t="s">
        <v>1041</v>
      </c>
      <c r="E145" s="42" t="s">
        <v>537</v>
      </c>
      <c r="F145" s="42" t="s">
        <v>612</v>
      </c>
      <c r="G145" s="42">
        <v>0.8</v>
      </c>
      <c r="H145" s="42">
        <v>1.6</v>
      </c>
      <c r="I145" s="42">
        <v>2.4</v>
      </c>
      <c r="J145" s="42">
        <v>3.2</v>
      </c>
      <c r="K145" s="42">
        <v>4.0</v>
      </c>
      <c r="L145" s="42" t="s">
        <v>1042</v>
      </c>
    </row>
    <row r="146">
      <c r="A146" s="42">
        <v>145.0</v>
      </c>
      <c r="B146" s="42" t="s">
        <v>1043</v>
      </c>
      <c r="C146" s="42">
        <v>5.0</v>
      </c>
      <c r="D146" s="108" t="s">
        <v>1044</v>
      </c>
      <c r="E146" s="42" t="s">
        <v>537</v>
      </c>
      <c r="F146" s="42" t="s">
        <v>696</v>
      </c>
      <c r="G146" s="42">
        <v>1.0</v>
      </c>
      <c r="H146" s="42">
        <v>2.0</v>
      </c>
      <c r="I146" s="42">
        <v>3.0</v>
      </c>
      <c r="J146" s="42">
        <v>4.0</v>
      </c>
      <c r="K146" s="42">
        <v>5.0</v>
      </c>
      <c r="L146" s="42" t="s">
        <v>1045</v>
      </c>
    </row>
    <row r="147">
      <c r="A147" s="42">
        <v>146.0</v>
      </c>
      <c r="B147" s="42" t="s">
        <v>1046</v>
      </c>
      <c r="C147" s="42">
        <v>5.0</v>
      </c>
      <c r="D147" s="108" t="s">
        <v>1047</v>
      </c>
      <c r="E147" s="42" t="s">
        <v>537</v>
      </c>
      <c r="F147" s="42" t="s">
        <v>560</v>
      </c>
      <c r="G147" s="42">
        <v>2.0</v>
      </c>
      <c r="H147" s="42">
        <v>4.0</v>
      </c>
      <c r="I147" s="42">
        <v>6.0</v>
      </c>
      <c r="J147" s="42">
        <v>8.0</v>
      </c>
      <c r="K147" s="42">
        <v>10.0</v>
      </c>
      <c r="L147" s="42" t="s">
        <v>1048</v>
      </c>
      <c r="N147" s="42" t="s">
        <v>1049</v>
      </c>
    </row>
    <row r="148">
      <c r="A148" s="42">
        <v>147.0</v>
      </c>
      <c r="B148" s="42" t="s">
        <v>1050</v>
      </c>
      <c r="C148" s="42">
        <v>5.0</v>
      </c>
      <c r="D148" s="108" t="s">
        <v>1051</v>
      </c>
      <c r="E148" s="42" t="s">
        <v>537</v>
      </c>
      <c r="F148" s="42" t="s">
        <v>538</v>
      </c>
      <c r="G148" s="42">
        <v>1.0</v>
      </c>
      <c r="H148" s="42">
        <v>2.0</v>
      </c>
      <c r="I148" s="42">
        <v>3.0</v>
      </c>
      <c r="J148" s="42">
        <v>4.0</v>
      </c>
      <c r="K148" s="42">
        <v>5.0</v>
      </c>
      <c r="L148" s="42" t="s">
        <v>1052</v>
      </c>
    </row>
    <row r="149">
      <c r="A149" s="42">
        <v>148.0</v>
      </c>
      <c r="B149" s="42" t="s">
        <v>1053</v>
      </c>
      <c r="C149" s="42">
        <v>1.0</v>
      </c>
      <c r="D149" s="108" t="s">
        <v>1054</v>
      </c>
      <c r="E149" s="42" t="s">
        <v>600</v>
      </c>
      <c r="F149" s="42" t="s">
        <v>720</v>
      </c>
      <c r="L149" s="42" t="s">
        <v>1055</v>
      </c>
    </row>
    <row r="150">
      <c r="A150" s="42">
        <v>149.0</v>
      </c>
      <c r="B150" s="42" t="s">
        <v>1056</v>
      </c>
      <c r="C150" s="42">
        <v>1.0</v>
      </c>
      <c r="D150" s="108" t="s">
        <v>1057</v>
      </c>
      <c r="E150" s="42" t="s">
        <v>600</v>
      </c>
      <c r="F150" s="42" t="s">
        <v>860</v>
      </c>
      <c r="L150" s="42" t="s">
        <v>1058</v>
      </c>
    </row>
    <row r="151">
      <c r="A151" s="42">
        <v>150.0</v>
      </c>
      <c r="B151" s="42" t="s">
        <v>1059</v>
      </c>
      <c r="C151" s="42">
        <v>1.0</v>
      </c>
      <c r="D151" s="108" t="s">
        <v>1060</v>
      </c>
      <c r="E151" s="42" t="s">
        <v>565</v>
      </c>
      <c r="F151" s="42" t="s">
        <v>847</v>
      </c>
      <c r="L151" s="42" t="s">
        <v>1061</v>
      </c>
    </row>
    <row r="152">
      <c r="A152" s="42">
        <v>151.0</v>
      </c>
      <c r="B152" s="42" t="s">
        <v>1062</v>
      </c>
      <c r="C152" s="42">
        <v>5.0</v>
      </c>
      <c r="D152" s="108" t="s">
        <v>1063</v>
      </c>
      <c r="E152" s="42" t="s">
        <v>537</v>
      </c>
      <c r="F152" s="42" t="s">
        <v>542</v>
      </c>
      <c r="G152" s="42">
        <v>3.0</v>
      </c>
      <c r="H152" s="42">
        <v>6.0</v>
      </c>
      <c r="I152" s="42">
        <v>9.0</v>
      </c>
      <c r="J152" s="42">
        <v>12.0</v>
      </c>
      <c r="K152" s="42">
        <v>15.0</v>
      </c>
      <c r="L152" s="42" t="s">
        <v>1064</v>
      </c>
    </row>
    <row r="153">
      <c r="A153" s="42">
        <v>152.0</v>
      </c>
      <c r="B153" s="42" t="s">
        <v>1065</v>
      </c>
      <c r="C153" s="42">
        <v>5.0</v>
      </c>
      <c r="D153" s="108" t="s">
        <v>1066</v>
      </c>
      <c r="E153" s="42" t="s">
        <v>537</v>
      </c>
      <c r="F153" s="42" t="s">
        <v>538</v>
      </c>
      <c r="G153" s="42">
        <v>0.5</v>
      </c>
      <c r="H153" s="42">
        <v>1.0</v>
      </c>
      <c r="I153" s="42">
        <v>1.5</v>
      </c>
      <c r="J153" s="42">
        <v>2.0</v>
      </c>
      <c r="K153" s="42">
        <v>2.5</v>
      </c>
      <c r="L153" s="42" t="s">
        <v>1067</v>
      </c>
    </row>
    <row r="154">
      <c r="A154" s="42">
        <v>153.0</v>
      </c>
      <c r="B154" s="42" t="s">
        <v>1068</v>
      </c>
      <c r="C154" s="42">
        <v>1.0</v>
      </c>
      <c r="D154" s="108" t="s">
        <v>1069</v>
      </c>
      <c r="E154" s="42" t="s">
        <v>600</v>
      </c>
      <c r="F154" s="42" t="s">
        <v>584</v>
      </c>
      <c r="L154" s="42" t="s">
        <v>1070</v>
      </c>
    </row>
    <row r="155">
      <c r="A155" s="42">
        <v>154.0</v>
      </c>
      <c r="B155" s="42" t="s">
        <v>1071</v>
      </c>
      <c r="C155" s="42">
        <v>1.0</v>
      </c>
      <c r="D155" s="108" t="s">
        <v>1072</v>
      </c>
      <c r="E155" s="42" t="s">
        <v>600</v>
      </c>
      <c r="F155" s="42" t="s">
        <v>594</v>
      </c>
      <c r="L155" s="42" t="s">
        <v>1073</v>
      </c>
    </row>
    <row r="156">
      <c r="A156" s="42">
        <v>155.0</v>
      </c>
      <c r="B156" s="42" t="s">
        <v>1074</v>
      </c>
      <c r="C156" s="42">
        <v>5.0</v>
      </c>
      <c r="D156" s="108" t="s">
        <v>1075</v>
      </c>
      <c r="E156" s="42" t="s">
        <v>537</v>
      </c>
      <c r="F156" s="42" t="s">
        <v>1076</v>
      </c>
      <c r="G156" s="42">
        <v>1.0</v>
      </c>
      <c r="H156" s="42">
        <v>2.0</v>
      </c>
      <c r="I156" s="42">
        <v>3.0</v>
      </c>
      <c r="J156" s="42">
        <v>4.0</v>
      </c>
      <c r="K156" s="42">
        <v>5.0</v>
      </c>
      <c r="L156" s="42" t="s">
        <v>1077</v>
      </c>
    </row>
    <row r="157">
      <c r="A157" s="42">
        <v>156.0</v>
      </c>
      <c r="B157" s="42" t="s">
        <v>1078</v>
      </c>
      <c r="C157" s="42">
        <v>5.0</v>
      </c>
      <c r="D157" s="108" t="s">
        <v>1079</v>
      </c>
      <c r="E157" s="42" t="s">
        <v>537</v>
      </c>
      <c r="F157" s="42" t="s">
        <v>538</v>
      </c>
      <c r="G157" s="42">
        <v>0.3</v>
      </c>
      <c r="H157" s="42">
        <v>0.6</v>
      </c>
      <c r="I157" s="42">
        <v>0.9</v>
      </c>
      <c r="J157" s="42">
        <v>1.2</v>
      </c>
      <c r="K157" s="42">
        <v>1.5</v>
      </c>
      <c r="L157" s="42" t="s">
        <v>1080</v>
      </c>
    </row>
    <row r="158">
      <c r="A158" s="42">
        <v>157.0</v>
      </c>
      <c r="B158" s="42" t="s">
        <v>1081</v>
      </c>
      <c r="C158" s="42">
        <v>5.0</v>
      </c>
      <c r="D158" s="108" t="s">
        <v>1082</v>
      </c>
      <c r="E158" s="42" t="s">
        <v>537</v>
      </c>
      <c r="F158" s="42" t="s">
        <v>594</v>
      </c>
      <c r="G158" s="42">
        <v>0.5</v>
      </c>
      <c r="H158" s="42">
        <v>1.0</v>
      </c>
      <c r="I158" s="42">
        <v>1.5</v>
      </c>
      <c r="J158" s="42">
        <v>2.0</v>
      </c>
      <c r="K158" s="42">
        <v>2.5</v>
      </c>
      <c r="L158" s="42" t="s">
        <v>1083</v>
      </c>
    </row>
    <row r="159">
      <c r="A159" s="42">
        <v>158.0</v>
      </c>
      <c r="B159" s="42" t="s">
        <v>1084</v>
      </c>
      <c r="C159" s="42">
        <v>5.0</v>
      </c>
      <c r="D159" s="108" t="s">
        <v>1085</v>
      </c>
      <c r="E159" s="42" t="s">
        <v>537</v>
      </c>
      <c r="F159" s="42" t="s">
        <v>538</v>
      </c>
      <c r="G159" s="42">
        <v>1.0</v>
      </c>
      <c r="H159" s="42">
        <v>2.0</v>
      </c>
      <c r="I159" s="42">
        <v>3.0</v>
      </c>
      <c r="J159" s="42">
        <v>4.0</v>
      </c>
      <c r="K159" s="42">
        <v>5.0</v>
      </c>
      <c r="L159" s="42" t="s">
        <v>1086</v>
      </c>
    </row>
    <row r="160">
      <c r="A160" s="42">
        <v>159.0</v>
      </c>
      <c r="B160" s="42" t="s">
        <v>1087</v>
      </c>
      <c r="C160" s="42">
        <v>5.0</v>
      </c>
      <c r="D160" s="108" t="s">
        <v>1088</v>
      </c>
      <c r="E160" s="42" t="s">
        <v>537</v>
      </c>
      <c r="F160" s="42" t="s">
        <v>692</v>
      </c>
      <c r="G160" s="42">
        <v>4.0</v>
      </c>
      <c r="H160" s="42">
        <v>8.0</v>
      </c>
      <c r="I160" s="42">
        <v>12.0</v>
      </c>
      <c r="J160" s="42">
        <v>16.0</v>
      </c>
      <c r="K160" s="42">
        <v>20.0</v>
      </c>
      <c r="L160" s="42" t="s">
        <v>1089</v>
      </c>
    </row>
    <row r="161">
      <c r="A161" s="42">
        <v>160.0</v>
      </c>
      <c r="B161" s="42" t="s">
        <v>1090</v>
      </c>
      <c r="C161" s="42">
        <v>5.0</v>
      </c>
      <c r="D161" s="108" t="s">
        <v>1091</v>
      </c>
      <c r="E161" s="42" t="s">
        <v>537</v>
      </c>
      <c r="F161" s="42" t="s">
        <v>860</v>
      </c>
      <c r="G161" s="42">
        <v>40.0</v>
      </c>
      <c r="H161" s="42">
        <v>80.0</v>
      </c>
      <c r="I161" s="42">
        <v>120.0</v>
      </c>
      <c r="J161" s="42">
        <v>160.0</v>
      </c>
      <c r="K161" s="42">
        <v>200.0</v>
      </c>
      <c r="L161" s="42" t="s">
        <v>1092</v>
      </c>
    </row>
    <row r="162">
      <c r="A162" s="42">
        <v>161.0</v>
      </c>
      <c r="B162" s="42" t="s">
        <v>1093</v>
      </c>
      <c r="C162" s="42">
        <v>5.0</v>
      </c>
      <c r="D162" s="108" t="s">
        <v>1094</v>
      </c>
      <c r="E162" s="42" t="s">
        <v>537</v>
      </c>
      <c r="F162" s="42" t="s">
        <v>635</v>
      </c>
      <c r="G162" s="42">
        <v>4.0</v>
      </c>
      <c r="H162" s="42">
        <v>8.0</v>
      </c>
      <c r="I162" s="42">
        <v>12.0</v>
      </c>
      <c r="J162" s="42">
        <v>16.0</v>
      </c>
      <c r="K162" s="42">
        <v>20.0</v>
      </c>
      <c r="L162" s="42" t="s">
        <v>1095</v>
      </c>
    </row>
    <row r="163">
      <c r="A163" s="42">
        <v>162.0</v>
      </c>
      <c r="B163" s="42" t="s">
        <v>1096</v>
      </c>
      <c r="C163" s="42">
        <v>5.0</v>
      </c>
      <c r="D163" s="108" t="s">
        <v>628</v>
      </c>
      <c r="E163" s="42" t="s">
        <v>537</v>
      </c>
      <c r="F163" s="42" t="s">
        <v>629</v>
      </c>
      <c r="G163" s="42">
        <v>0.5</v>
      </c>
      <c r="H163" s="42">
        <v>1.0</v>
      </c>
      <c r="I163" s="42">
        <v>1.5</v>
      </c>
      <c r="J163" s="42">
        <v>2.0</v>
      </c>
      <c r="K163" s="42">
        <v>2.5</v>
      </c>
      <c r="L163" s="42" t="s">
        <v>630</v>
      </c>
    </row>
    <row r="164">
      <c r="A164" s="42">
        <v>163.0</v>
      </c>
      <c r="B164" s="42" t="s">
        <v>1097</v>
      </c>
      <c r="C164" s="42">
        <v>1.0</v>
      </c>
      <c r="D164" s="108" t="s">
        <v>1098</v>
      </c>
      <c r="E164" s="42" t="s">
        <v>600</v>
      </c>
      <c r="F164" s="42" t="s">
        <v>737</v>
      </c>
      <c r="L164" s="42" t="s">
        <v>1099</v>
      </c>
    </row>
    <row r="165">
      <c r="A165" s="42">
        <v>164.0</v>
      </c>
      <c r="B165" s="42" t="s">
        <v>1100</v>
      </c>
      <c r="C165" s="42">
        <v>1.0</v>
      </c>
      <c r="D165" s="108" t="s">
        <v>1101</v>
      </c>
      <c r="E165" s="42" t="s">
        <v>600</v>
      </c>
      <c r="F165" s="42" t="s">
        <v>800</v>
      </c>
      <c r="L165" s="42" t="s">
        <v>1102</v>
      </c>
    </row>
    <row r="166">
      <c r="A166" s="42">
        <v>165.0</v>
      </c>
      <c r="B166" s="42" t="s">
        <v>1103</v>
      </c>
      <c r="C166" s="42">
        <v>5.0</v>
      </c>
      <c r="D166" s="108" t="s">
        <v>1104</v>
      </c>
      <c r="E166" s="42" t="s">
        <v>537</v>
      </c>
      <c r="F166" s="42" t="s">
        <v>574</v>
      </c>
      <c r="G166" s="42">
        <v>1.0</v>
      </c>
      <c r="H166" s="42">
        <v>2.0</v>
      </c>
      <c r="I166" s="42">
        <v>3.0</v>
      </c>
      <c r="J166" s="42">
        <v>4.0</v>
      </c>
      <c r="K166" s="42">
        <v>5.0</v>
      </c>
      <c r="L166" s="42" t="s">
        <v>1105</v>
      </c>
    </row>
    <row r="167">
      <c r="A167" s="42">
        <v>166.0</v>
      </c>
      <c r="B167" s="42" t="s">
        <v>1106</v>
      </c>
      <c r="C167" s="42">
        <v>5.0</v>
      </c>
      <c r="D167" s="108" t="s">
        <v>1107</v>
      </c>
      <c r="E167" s="42" t="s">
        <v>537</v>
      </c>
      <c r="F167" s="42" t="s">
        <v>584</v>
      </c>
      <c r="G167" s="42">
        <v>1.0</v>
      </c>
      <c r="H167" s="42">
        <v>2.0</v>
      </c>
      <c r="I167" s="42">
        <v>3.0</v>
      </c>
      <c r="J167" s="42">
        <v>4.0</v>
      </c>
      <c r="K167" s="42">
        <v>5.0</v>
      </c>
      <c r="L167" s="42" t="s">
        <v>1108</v>
      </c>
    </row>
    <row r="168">
      <c r="A168" s="42">
        <v>167.0</v>
      </c>
      <c r="B168" s="42" t="s">
        <v>1109</v>
      </c>
      <c r="C168" s="42">
        <v>1.0</v>
      </c>
      <c r="D168" s="108" t="s">
        <v>1110</v>
      </c>
      <c r="E168" s="42" t="s">
        <v>600</v>
      </c>
      <c r="F168" s="42" t="s">
        <v>594</v>
      </c>
      <c r="L168" s="42" t="s">
        <v>1111</v>
      </c>
      <c r="N168" s="42" t="s">
        <v>1112</v>
      </c>
    </row>
    <row r="169">
      <c r="A169" s="42">
        <v>168.0</v>
      </c>
      <c r="B169" s="42" t="s">
        <v>1113</v>
      </c>
      <c r="C169" s="42">
        <v>1.0</v>
      </c>
      <c r="D169" s="108" t="s">
        <v>1114</v>
      </c>
      <c r="E169" s="42" t="s">
        <v>600</v>
      </c>
      <c r="F169" s="42" t="s">
        <v>684</v>
      </c>
      <c r="L169" s="42" t="s">
        <v>1115</v>
      </c>
    </row>
    <row r="170">
      <c r="A170" s="42">
        <v>169.0</v>
      </c>
      <c r="B170" s="42" t="s">
        <v>1116</v>
      </c>
      <c r="C170" s="42">
        <v>5.0</v>
      </c>
      <c r="D170" s="108" t="s">
        <v>1117</v>
      </c>
      <c r="E170" s="42" t="s">
        <v>537</v>
      </c>
      <c r="F170" s="42" t="s">
        <v>688</v>
      </c>
      <c r="G170" s="42">
        <v>1.0</v>
      </c>
      <c r="H170" s="42">
        <v>2.0</v>
      </c>
      <c r="I170" s="42">
        <v>3.0</v>
      </c>
      <c r="J170" s="42">
        <v>4.0</v>
      </c>
      <c r="K170" s="42">
        <v>5.0</v>
      </c>
      <c r="L170" s="42" t="s">
        <v>1118</v>
      </c>
    </row>
    <row r="171">
      <c r="A171" s="42">
        <v>170.0</v>
      </c>
      <c r="B171" s="42" t="s">
        <v>1119</v>
      </c>
      <c r="C171" s="42">
        <v>5.0</v>
      </c>
      <c r="D171" s="108" t="s">
        <v>1120</v>
      </c>
      <c r="E171" s="42" t="s">
        <v>537</v>
      </c>
      <c r="F171" s="42" t="s">
        <v>546</v>
      </c>
      <c r="G171" s="42">
        <v>1.0</v>
      </c>
      <c r="H171" s="42">
        <v>2.0</v>
      </c>
      <c r="I171" s="42">
        <v>3.0</v>
      </c>
      <c r="J171" s="42">
        <v>4.0</v>
      </c>
      <c r="K171" s="42">
        <v>5.0</v>
      </c>
      <c r="L171" s="42" t="s">
        <v>1121</v>
      </c>
    </row>
    <row r="172">
      <c r="A172" s="42">
        <v>171.0</v>
      </c>
      <c r="B172" s="42" t="s">
        <v>1122</v>
      </c>
      <c r="C172" s="42">
        <v>5.0</v>
      </c>
      <c r="D172" s="108" t="s">
        <v>1123</v>
      </c>
      <c r="E172" s="42" t="s">
        <v>537</v>
      </c>
      <c r="F172" s="42" t="s">
        <v>692</v>
      </c>
      <c r="G172" s="42">
        <v>4.0</v>
      </c>
      <c r="H172" s="42">
        <v>8.0</v>
      </c>
      <c r="I172" s="42">
        <v>12.0</v>
      </c>
      <c r="J172" s="42">
        <v>16.0</v>
      </c>
      <c r="K172" s="42">
        <v>20.0</v>
      </c>
      <c r="L172" s="42" t="s">
        <v>1124</v>
      </c>
    </row>
    <row r="173">
      <c r="A173" s="42">
        <v>172.0</v>
      </c>
      <c r="B173" s="42" t="s">
        <v>1125</v>
      </c>
      <c r="C173" s="42">
        <v>5.0</v>
      </c>
      <c r="D173" s="108" t="s">
        <v>1126</v>
      </c>
      <c r="E173" s="42" t="s">
        <v>537</v>
      </c>
      <c r="F173" s="42" t="s">
        <v>684</v>
      </c>
      <c r="G173" s="42">
        <v>0.3</v>
      </c>
      <c r="H173" s="42">
        <v>0.6</v>
      </c>
      <c r="I173" s="42">
        <v>0.9</v>
      </c>
      <c r="J173" s="42">
        <v>1.2</v>
      </c>
      <c r="K173" s="42">
        <v>1.5</v>
      </c>
      <c r="L173" s="42" t="s">
        <v>1127</v>
      </c>
    </row>
    <row r="174">
      <c r="A174" s="42">
        <v>173.0</v>
      </c>
      <c r="B174" s="42" t="s">
        <v>1128</v>
      </c>
      <c r="C174" s="42">
        <v>5.0</v>
      </c>
      <c r="D174" s="108" t="s">
        <v>1129</v>
      </c>
      <c r="E174" s="42" t="s">
        <v>537</v>
      </c>
      <c r="F174" s="42" t="s">
        <v>957</v>
      </c>
      <c r="G174" s="42">
        <v>60.0</v>
      </c>
      <c r="H174" s="42">
        <v>120.0</v>
      </c>
      <c r="I174" s="42">
        <v>180.0</v>
      </c>
      <c r="J174" s="42">
        <v>240.0</v>
      </c>
      <c r="K174" s="42">
        <v>300.0</v>
      </c>
      <c r="L174" s="42" t="s">
        <v>1130</v>
      </c>
    </row>
    <row r="175">
      <c r="A175" s="42">
        <v>174.0</v>
      </c>
      <c r="B175" s="42" t="s">
        <v>1131</v>
      </c>
      <c r="C175" s="42">
        <v>5.0</v>
      </c>
      <c r="D175" s="108" t="s">
        <v>1132</v>
      </c>
      <c r="E175" s="42" t="s">
        <v>537</v>
      </c>
      <c r="F175" s="42" t="s">
        <v>594</v>
      </c>
      <c r="G175" s="42">
        <v>0.5</v>
      </c>
      <c r="H175" s="42">
        <v>1.0</v>
      </c>
      <c r="I175" s="42">
        <v>1.5</v>
      </c>
      <c r="J175" s="42">
        <v>2.0</v>
      </c>
      <c r="K175" s="42">
        <v>2.5</v>
      </c>
      <c r="L175" s="42" t="s">
        <v>1133</v>
      </c>
    </row>
    <row r="176">
      <c r="A176" s="42">
        <v>175.0</v>
      </c>
      <c r="B176" s="42" t="s">
        <v>1134</v>
      </c>
      <c r="C176" s="42">
        <v>5.0</v>
      </c>
      <c r="D176" s="108" t="s">
        <v>1135</v>
      </c>
      <c r="E176" s="42" t="s">
        <v>537</v>
      </c>
      <c r="F176" s="42" t="s">
        <v>684</v>
      </c>
      <c r="G176" s="42">
        <v>0.6</v>
      </c>
      <c r="H176" s="42">
        <v>1.2</v>
      </c>
      <c r="I176" s="42">
        <v>1.8</v>
      </c>
      <c r="J176" s="42">
        <v>2.4</v>
      </c>
      <c r="K176" s="42">
        <v>3.0</v>
      </c>
      <c r="L176" s="42" t="s">
        <v>1136</v>
      </c>
      <c r="N176" s="42" t="s">
        <v>1112</v>
      </c>
    </row>
    <row r="177">
      <c r="A177" s="42">
        <v>176.0</v>
      </c>
      <c r="B177" s="42" t="s">
        <v>1137</v>
      </c>
      <c r="C177" s="42">
        <v>1.0</v>
      </c>
      <c r="D177" s="108" t="s">
        <v>1138</v>
      </c>
      <c r="E177" s="42" t="s">
        <v>600</v>
      </c>
      <c r="F177" s="42" t="s">
        <v>546</v>
      </c>
      <c r="L177" s="30" t="s">
        <v>1139</v>
      </c>
    </row>
    <row r="178">
      <c r="A178" s="42">
        <v>177.0</v>
      </c>
      <c r="B178" s="42" t="s">
        <v>1140</v>
      </c>
      <c r="C178" s="42">
        <v>1.0</v>
      </c>
      <c r="D178" s="108" t="s">
        <v>1141</v>
      </c>
      <c r="E178" s="42" t="s">
        <v>600</v>
      </c>
      <c r="F178" s="42" t="s">
        <v>696</v>
      </c>
      <c r="L178" s="30" t="s">
        <v>1142</v>
      </c>
    </row>
    <row r="179">
      <c r="A179" s="42">
        <v>178.0</v>
      </c>
      <c r="B179" s="42" t="s">
        <v>1143</v>
      </c>
      <c r="C179" s="42">
        <v>1.0</v>
      </c>
      <c r="D179" s="108" t="s">
        <v>1144</v>
      </c>
      <c r="E179" s="42" t="s">
        <v>600</v>
      </c>
      <c r="F179" s="42" t="s">
        <v>560</v>
      </c>
      <c r="L179" s="30" t="s">
        <v>1145</v>
      </c>
    </row>
    <row r="180">
      <c r="A180" s="42">
        <v>179.0</v>
      </c>
      <c r="B180" s="42" t="s">
        <v>1146</v>
      </c>
      <c r="C180" s="42">
        <v>1.0</v>
      </c>
      <c r="D180" s="108" t="s">
        <v>1147</v>
      </c>
      <c r="E180" s="42" t="s">
        <v>600</v>
      </c>
      <c r="F180" s="42" t="s">
        <v>1148</v>
      </c>
      <c r="L180" s="30" t="s">
        <v>1149</v>
      </c>
    </row>
    <row r="181">
      <c r="A181" s="42">
        <v>180.0</v>
      </c>
      <c r="B181" s="42" t="s">
        <v>1150</v>
      </c>
      <c r="C181" s="42">
        <v>5.0</v>
      </c>
      <c r="D181" s="108" t="s">
        <v>1151</v>
      </c>
      <c r="E181" s="42" t="s">
        <v>537</v>
      </c>
      <c r="F181" s="42" t="s">
        <v>635</v>
      </c>
      <c r="G181" s="42">
        <v>6.0</v>
      </c>
      <c r="H181" s="42">
        <v>12.0</v>
      </c>
      <c r="I181" s="42">
        <v>18.0</v>
      </c>
      <c r="J181" s="42">
        <v>24.0</v>
      </c>
      <c r="K181" s="42">
        <v>30.0</v>
      </c>
      <c r="L181" s="30" t="s">
        <v>1152</v>
      </c>
    </row>
    <row r="182">
      <c r="A182" s="42">
        <v>181.0</v>
      </c>
      <c r="B182" s="42" t="s">
        <v>1153</v>
      </c>
      <c r="C182" s="42">
        <v>5.0</v>
      </c>
      <c r="D182" s="108" t="s">
        <v>1154</v>
      </c>
      <c r="E182" s="42" t="s">
        <v>537</v>
      </c>
      <c r="F182" s="42" t="s">
        <v>566</v>
      </c>
      <c r="G182" s="42">
        <v>1.0</v>
      </c>
      <c r="H182" s="42">
        <v>2.0</v>
      </c>
      <c r="I182" s="42">
        <v>3.0</v>
      </c>
      <c r="J182" s="42">
        <v>4.0</v>
      </c>
      <c r="K182" s="42">
        <v>5.0</v>
      </c>
      <c r="L182" s="30" t="s">
        <v>1155</v>
      </c>
    </row>
    <row r="183">
      <c r="A183" s="42">
        <v>182.0</v>
      </c>
      <c r="B183" s="42" t="s">
        <v>1156</v>
      </c>
      <c r="C183" s="42">
        <v>5.0</v>
      </c>
      <c r="D183" s="108" t="s">
        <v>1157</v>
      </c>
      <c r="E183" s="42" t="s">
        <v>537</v>
      </c>
      <c r="F183" s="42" t="s">
        <v>629</v>
      </c>
      <c r="G183" s="42">
        <v>1.0</v>
      </c>
      <c r="H183" s="42">
        <v>2.0</v>
      </c>
      <c r="I183" s="42">
        <v>3.0</v>
      </c>
      <c r="J183" s="42">
        <v>4.0</v>
      </c>
      <c r="K183" s="42">
        <v>5.0</v>
      </c>
      <c r="L183" s="30" t="s">
        <v>1158</v>
      </c>
    </row>
    <row r="184">
      <c r="A184" s="42">
        <v>183.0</v>
      </c>
      <c r="B184" s="42" t="s">
        <v>1159</v>
      </c>
      <c r="C184" s="42">
        <v>5.0</v>
      </c>
      <c r="D184" s="108" t="s">
        <v>1160</v>
      </c>
      <c r="E184" s="42" t="s">
        <v>537</v>
      </c>
      <c r="F184" s="42" t="s">
        <v>560</v>
      </c>
      <c r="G184" s="42">
        <v>10.0</v>
      </c>
      <c r="H184" s="42">
        <v>20.0</v>
      </c>
      <c r="I184" s="42">
        <v>30.0</v>
      </c>
      <c r="J184" s="42">
        <v>40.0</v>
      </c>
      <c r="K184" s="42">
        <v>50.0</v>
      </c>
      <c r="L184" s="30" t="s">
        <v>1161</v>
      </c>
    </row>
    <row r="185">
      <c r="A185" s="42">
        <v>184.0</v>
      </c>
      <c r="B185" s="42" t="s">
        <v>1162</v>
      </c>
      <c r="C185" s="42">
        <v>5.0</v>
      </c>
      <c r="D185" s="108" t="s">
        <v>1163</v>
      </c>
      <c r="E185" s="42" t="s">
        <v>537</v>
      </c>
      <c r="F185" s="42" t="s">
        <v>584</v>
      </c>
      <c r="G185" s="42">
        <v>1.0</v>
      </c>
      <c r="H185" s="42">
        <v>2.0</v>
      </c>
      <c r="I185" s="42">
        <v>3.0</v>
      </c>
      <c r="J185" s="42">
        <v>4.0</v>
      </c>
      <c r="K185" s="42">
        <v>5.0</v>
      </c>
      <c r="L185" s="30" t="s">
        <v>1164</v>
      </c>
    </row>
    <row r="186">
      <c r="A186" s="42">
        <v>185.0</v>
      </c>
      <c r="B186" s="42" t="s">
        <v>1165</v>
      </c>
      <c r="C186" s="42">
        <v>5.0</v>
      </c>
      <c r="D186" s="108" t="s">
        <v>1166</v>
      </c>
      <c r="E186" s="42" t="s">
        <v>537</v>
      </c>
      <c r="F186" s="42" t="s">
        <v>860</v>
      </c>
      <c r="G186" s="42">
        <v>30.0</v>
      </c>
      <c r="H186" s="42">
        <v>60.0</v>
      </c>
      <c r="I186" s="42">
        <v>90.0</v>
      </c>
      <c r="J186" s="42">
        <v>120.0</v>
      </c>
      <c r="K186" s="42">
        <v>150.0</v>
      </c>
      <c r="L186" s="30" t="s">
        <v>1167</v>
      </c>
    </row>
    <row r="187">
      <c r="A187" s="42">
        <v>186.0</v>
      </c>
      <c r="B187" s="42" t="s">
        <v>1168</v>
      </c>
      <c r="C187" s="42">
        <v>5.0</v>
      </c>
      <c r="D187" s="108" t="s">
        <v>1169</v>
      </c>
      <c r="E187" s="42" t="s">
        <v>537</v>
      </c>
      <c r="F187" s="42" t="s">
        <v>635</v>
      </c>
      <c r="G187" s="42">
        <v>4.0</v>
      </c>
      <c r="H187" s="42">
        <v>8.0</v>
      </c>
      <c r="I187" s="42">
        <v>12.0</v>
      </c>
      <c r="J187" s="42">
        <v>16.0</v>
      </c>
      <c r="K187" s="42">
        <v>20.0</v>
      </c>
      <c r="L187" s="30" t="s">
        <v>1170</v>
      </c>
    </row>
    <row r="188">
      <c r="A188" s="42">
        <v>187.0</v>
      </c>
      <c r="B188" s="42" t="s">
        <v>1171</v>
      </c>
      <c r="C188" s="42">
        <v>1.0</v>
      </c>
      <c r="D188" s="108" t="s">
        <v>1172</v>
      </c>
      <c r="E188" s="42" t="s">
        <v>600</v>
      </c>
      <c r="F188" s="42" t="s">
        <v>1173</v>
      </c>
      <c r="L188" s="30" t="s">
        <v>1174</v>
      </c>
    </row>
    <row r="189">
      <c r="A189" s="42">
        <v>188.0</v>
      </c>
      <c r="B189" s="42" t="s">
        <v>1175</v>
      </c>
      <c r="C189" s="42">
        <v>1.0</v>
      </c>
      <c r="D189" s="108" t="s">
        <v>1176</v>
      </c>
      <c r="E189" s="42" t="s">
        <v>600</v>
      </c>
      <c r="F189" s="42" t="s">
        <v>1177</v>
      </c>
      <c r="L189" s="30" t="s">
        <v>1178</v>
      </c>
    </row>
    <row r="190">
      <c r="A190" s="42">
        <v>189.0</v>
      </c>
      <c r="B190" s="42" t="s">
        <v>1179</v>
      </c>
      <c r="C190" s="42">
        <v>1.0</v>
      </c>
      <c r="D190" s="108" t="s">
        <v>1180</v>
      </c>
      <c r="E190" s="42" t="s">
        <v>565</v>
      </c>
      <c r="F190" s="42" t="s">
        <v>944</v>
      </c>
      <c r="L190" s="30" t="s">
        <v>1181</v>
      </c>
    </row>
    <row r="191">
      <c r="A191" s="42">
        <v>190.0</v>
      </c>
      <c r="B191" s="42" t="s">
        <v>1182</v>
      </c>
      <c r="C191" s="42">
        <v>1.0</v>
      </c>
      <c r="D191" s="108" t="s">
        <v>1183</v>
      </c>
      <c r="E191" s="42" t="s">
        <v>565</v>
      </c>
      <c r="F191" s="42" t="s">
        <v>811</v>
      </c>
      <c r="L191" s="30" t="s">
        <v>1184</v>
      </c>
    </row>
    <row r="192">
      <c r="A192" s="42">
        <v>191.0</v>
      </c>
      <c r="B192" s="42" t="s">
        <v>1185</v>
      </c>
      <c r="C192" s="42">
        <v>1.0</v>
      </c>
      <c r="D192" s="108" t="s">
        <v>1186</v>
      </c>
      <c r="E192" s="42" t="s">
        <v>600</v>
      </c>
      <c r="F192" s="42" t="s">
        <v>594</v>
      </c>
      <c r="L192" s="30" t="s">
        <v>1187</v>
      </c>
    </row>
    <row r="193">
      <c r="A193" s="42">
        <v>192.0</v>
      </c>
      <c r="B193" s="42" t="s">
        <v>1188</v>
      </c>
      <c r="C193" s="42">
        <v>1.0</v>
      </c>
      <c r="D193" s="108" t="s">
        <v>1189</v>
      </c>
      <c r="E193" s="42" t="s">
        <v>600</v>
      </c>
      <c r="F193" s="42" t="s">
        <v>560</v>
      </c>
      <c r="L193" s="30" t="s">
        <v>1190</v>
      </c>
    </row>
    <row r="194">
      <c r="A194" s="42">
        <v>193.0</v>
      </c>
      <c r="B194" s="42" t="s">
        <v>1191</v>
      </c>
      <c r="C194" s="42">
        <v>5.0</v>
      </c>
      <c r="D194" s="108" t="s">
        <v>1192</v>
      </c>
      <c r="E194" s="42" t="s">
        <v>537</v>
      </c>
      <c r="F194" s="42" t="s">
        <v>560</v>
      </c>
      <c r="G194" s="42">
        <v>3.0</v>
      </c>
      <c r="H194" s="42">
        <v>6.0</v>
      </c>
      <c r="I194" s="42">
        <v>9.0</v>
      </c>
      <c r="J194" s="42">
        <v>12.0</v>
      </c>
      <c r="K194" s="42">
        <v>15.0</v>
      </c>
      <c r="L194" s="30" t="s">
        <v>1193</v>
      </c>
    </row>
    <row r="195">
      <c r="A195" s="42">
        <v>194.0</v>
      </c>
      <c r="B195" s="42" t="s">
        <v>1194</v>
      </c>
      <c r="C195" s="42">
        <v>5.0</v>
      </c>
      <c r="D195" s="108" t="s">
        <v>1195</v>
      </c>
      <c r="E195" s="42" t="s">
        <v>537</v>
      </c>
      <c r="F195" s="42" t="s">
        <v>720</v>
      </c>
      <c r="G195" s="42">
        <v>1.0</v>
      </c>
      <c r="H195" s="42">
        <v>2.0</v>
      </c>
      <c r="I195" s="42">
        <v>3.0</v>
      </c>
      <c r="J195" s="42">
        <v>4.0</v>
      </c>
      <c r="K195" s="42">
        <v>5.0</v>
      </c>
      <c r="L195" s="30" t="s">
        <v>1196</v>
      </c>
    </row>
    <row r="196">
      <c r="A196" s="42">
        <v>195.0</v>
      </c>
      <c r="B196" s="42" t="s">
        <v>1197</v>
      </c>
      <c r="C196" s="42">
        <v>5.0</v>
      </c>
      <c r="D196" s="108" t="s">
        <v>1198</v>
      </c>
      <c r="E196" s="42" t="s">
        <v>537</v>
      </c>
      <c r="F196" s="42" t="s">
        <v>612</v>
      </c>
      <c r="G196" s="42">
        <v>2.0</v>
      </c>
      <c r="H196" s="42">
        <v>4.0</v>
      </c>
      <c r="I196" s="42">
        <v>6.0</v>
      </c>
      <c r="J196" s="42">
        <v>8.0</v>
      </c>
      <c r="K196" s="42">
        <v>10.0</v>
      </c>
      <c r="L196" s="30" t="s">
        <v>1199</v>
      </c>
    </row>
    <row r="197">
      <c r="A197" s="42">
        <v>196.0</v>
      </c>
      <c r="B197" s="42" t="s">
        <v>1200</v>
      </c>
      <c r="C197" s="42">
        <v>5.0</v>
      </c>
      <c r="D197" s="108" t="s">
        <v>1201</v>
      </c>
      <c r="E197" s="42" t="s">
        <v>537</v>
      </c>
      <c r="F197" s="42" t="s">
        <v>594</v>
      </c>
      <c r="G197" s="42">
        <v>0.4</v>
      </c>
      <c r="H197" s="42">
        <v>0.8</v>
      </c>
      <c r="I197" s="42">
        <v>1.2</v>
      </c>
      <c r="J197" s="42">
        <v>1.6</v>
      </c>
      <c r="K197" s="42">
        <v>2.0</v>
      </c>
      <c r="L197" s="30" t="s">
        <v>1202</v>
      </c>
    </row>
    <row r="198">
      <c r="A198" s="42">
        <v>197.0</v>
      </c>
      <c r="B198" s="42" t="s">
        <v>1203</v>
      </c>
      <c r="C198" s="42">
        <v>1.0</v>
      </c>
      <c r="D198" s="108" t="s">
        <v>1204</v>
      </c>
      <c r="E198" s="42" t="s">
        <v>600</v>
      </c>
      <c r="F198" s="42" t="s">
        <v>1205</v>
      </c>
      <c r="L198" s="30" t="s">
        <v>1206</v>
      </c>
    </row>
    <row r="199">
      <c r="A199" s="42">
        <v>198.0</v>
      </c>
      <c r="B199" s="42" t="s">
        <v>1207</v>
      </c>
      <c r="C199" s="42">
        <v>1.0</v>
      </c>
      <c r="D199" s="108" t="s">
        <v>1208</v>
      </c>
      <c r="E199" s="42" t="s">
        <v>600</v>
      </c>
      <c r="F199" s="42" t="s">
        <v>804</v>
      </c>
      <c r="L199" s="30" t="s">
        <v>1209</v>
      </c>
    </row>
    <row r="200">
      <c r="A200" s="42">
        <v>199.0</v>
      </c>
      <c r="B200" s="42" t="s">
        <v>1210</v>
      </c>
      <c r="C200" s="42">
        <v>5.0</v>
      </c>
      <c r="D200" s="108" t="s">
        <v>1211</v>
      </c>
      <c r="E200" s="42" t="s">
        <v>537</v>
      </c>
      <c r="F200" s="42" t="s">
        <v>860</v>
      </c>
      <c r="G200" s="42">
        <v>1.0</v>
      </c>
      <c r="H200" s="42">
        <v>2.0</v>
      </c>
      <c r="I200" s="42">
        <v>3.0</v>
      </c>
      <c r="J200" s="42">
        <v>4.0</v>
      </c>
      <c r="K200" s="42">
        <v>5.0</v>
      </c>
      <c r="L200" s="30" t="s">
        <v>1212</v>
      </c>
    </row>
    <row r="201">
      <c r="A201" s="42">
        <v>200.0</v>
      </c>
      <c r="B201" s="42" t="s">
        <v>1213</v>
      </c>
      <c r="C201" s="42">
        <v>1.0</v>
      </c>
      <c r="D201" s="108" t="s">
        <v>1214</v>
      </c>
      <c r="E201" s="42" t="s">
        <v>600</v>
      </c>
      <c r="F201" s="42" t="s">
        <v>733</v>
      </c>
      <c r="L201" s="30" t="s">
        <v>1215</v>
      </c>
    </row>
    <row r="202">
      <c r="A202" s="42">
        <v>201.0</v>
      </c>
      <c r="B202" s="42" t="s">
        <v>1216</v>
      </c>
      <c r="C202" s="42">
        <v>1.0</v>
      </c>
      <c r="D202" s="108" t="s">
        <v>1217</v>
      </c>
      <c r="E202" s="42" t="s">
        <v>600</v>
      </c>
      <c r="F202" s="42" t="s">
        <v>696</v>
      </c>
      <c r="L202" s="30" t="s">
        <v>1218</v>
      </c>
    </row>
    <row r="203">
      <c r="A203" s="42">
        <v>202.0</v>
      </c>
      <c r="B203" s="42" t="s">
        <v>1219</v>
      </c>
      <c r="C203" s="42">
        <v>5.0</v>
      </c>
      <c r="D203" s="108" t="s">
        <v>1220</v>
      </c>
      <c r="E203" s="42" t="s">
        <v>537</v>
      </c>
      <c r="F203" s="42" t="s">
        <v>546</v>
      </c>
      <c r="G203" s="42">
        <v>0.3</v>
      </c>
      <c r="H203" s="42">
        <v>0.6</v>
      </c>
      <c r="I203" s="42">
        <v>0.9</v>
      </c>
      <c r="J203" s="42">
        <v>1.2</v>
      </c>
      <c r="K203" s="42">
        <v>1.5</v>
      </c>
      <c r="L203" s="30" t="s">
        <v>1221</v>
      </c>
    </row>
    <row r="204">
      <c r="A204" s="42">
        <v>203.0</v>
      </c>
      <c r="B204" s="42" t="s">
        <v>1222</v>
      </c>
      <c r="C204" s="42">
        <v>5.0</v>
      </c>
      <c r="D204" s="108" t="s">
        <v>1223</v>
      </c>
      <c r="E204" s="42" t="s">
        <v>537</v>
      </c>
      <c r="F204" s="42" t="s">
        <v>957</v>
      </c>
      <c r="G204" s="42">
        <v>1.0</v>
      </c>
      <c r="H204" s="42">
        <v>2.0</v>
      </c>
      <c r="I204" s="42">
        <v>3.0</v>
      </c>
      <c r="J204" s="42">
        <v>4.0</v>
      </c>
      <c r="K204" s="42">
        <v>5.0</v>
      </c>
      <c r="L204" s="30" t="s">
        <v>1224</v>
      </c>
    </row>
    <row r="205">
      <c r="A205" s="42">
        <v>204.0</v>
      </c>
      <c r="B205" s="42" t="s">
        <v>1225</v>
      </c>
      <c r="C205" s="42">
        <v>5.0</v>
      </c>
      <c r="D205" s="108" t="s">
        <v>1226</v>
      </c>
      <c r="E205" s="42" t="s">
        <v>537</v>
      </c>
      <c r="F205" s="42" t="s">
        <v>594</v>
      </c>
      <c r="G205" s="42">
        <v>1.0</v>
      </c>
      <c r="H205" s="42">
        <v>2.0</v>
      </c>
      <c r="I205" s="42">
        <v>3.0</v>
      </c>
      <c r="J205" s="42">
        <v>4.0</v>
      </c>
      <c r="K205" s="42">
        <v>5.0</v>
      </c>
      <c r="L205" s="30" t="s">
        <v>1227</v>
      </c>
    </row>
    <row r="206">
      <c r="A206" s="42">
        <v>205.0</v>
      </c>
      <c r="B206" s="42" t="s">
        <v>1228</v>
      </c>
      <c r="C206" s="42">
        <v>5.0</v>
      </c>
      <c r="D206" s="108" t="s">
        <v>1229</v>
      </c>
      <c r="E206" s="42" t="s">
        <v>537</v>
      </c>
      <c r="F206" s="42" t="s">
        <v>860</v>
      </c>
      <c r="G206" s="42">
        <v>30.0</v>
      </c>
      <c r="H206" s="42">
        <v>60.0</v>
      </c>
      <c r="I206" s="42">
        <v>90.0</v>
      </c>
      <c r="J206" s="42">
        <v>120.0</v>
      </c>
      <c r="K206" s="42">
        <v>150.0</v>
      </c>
      <c r="L206" s="30" t="s">
        <v>1230</v>
      </c>
    </row>
    <row r="207">
      <c r="A207" s="42">
        <v>206.0</v>
      </c>
      <c r="B207" s="42" t="s">
        <v>1231</v>
      </c>
      <c r="C207" s="42">
        <v>5.0</v>
      </c>
      <c r="D207" s="108" t="s">
        <v>1232</v>
      </c>
      <c r="E207" s="42" t="s">
        <v>537</v>
      </c>
      <c r="F207" s="42" t="s">
        <v>584</v>
      </c>
      <c r="G207" s="42">
        <v>2.0</v>
      </c>
      <c r="H207" s="42">
        <v>4.0</v>
      </c>
      <c r="I207" s="42">
        <v>6.0</v>
      </c>
      <c r="J207" s="42">
        <v>8.0</v>
      </c>
      <c r="K207" s="42">
        <v>10.0</v>
      </c>
      <c r="L207" s="30" t="s">
        <v>1233</v>
      </c>
    </row>
    <row r="208">
      <c r="A208" s="42">
        <v>207.0</v>
      </c>
      <c r="B208" s="42" t="s">
        <v>1234</v>
      </c>
      <c r="C208" s="42">
        <v>5.0</v>
      </c>
      <c r="D208" s="108" t="s">
        <v>1235</v>
      </c>
      <c r="E208" s="42" t="s">
        <v>537</v>
      </c>
      <c r="F208" s="42" t="s">
        <v>560</v>
      </c>
      <c r="G208" s="42">
        <v>3.0</v>
      </c>
      <c r="H208" s="42">
        <v>6.0</v>
      </c>
      <c r="I208" s="42">
        <v>9.0</v>
      </c>
      <c r="J208" s="42">
        <v>12.0</v>
      </c>
      <c r="K208" s="42">
        <v>15.0</v>
      </c>
      <c r="L208" s="30" t="s">
        <v>1236</v>
      </c>
    </row>
    <row r="209">
      <c r="A209" s="42">
        <v>208.0</v>
      </c>
      <c r="B209" s="42" t="s">
        <v>1237</v>
      </c>
      <c r="C209" s="42">
        <v>1.0</v>
      </c>
      <c r="D209" s="108" t="s">
        <v>1238</v>
      </c>
      <c r="E209" s="42" t="s">
        <v>600</v>
      </c>
      <c r="F209" s="42" t="s">
        <v>770</v>
      </c>
      <c r="L209" s="30" t="s">
        <v>1239</v>
      </c>
    </row>
    <row r="210">
      <c r="A210" s="42">
        <v>209.0</v>
      </c>
      <c r="B210" s="42" t="s">
        <v>1240</v>
      </c>
      <c r="C210" s="42">
        <v>1.0</v>
      </c>
      <c r="D210" s="108" t="s">
        <v>1241</v>
      </c>
      <c r="E210" s="42" t="s">
        <v>600</v>
      </c>
      <c r="F210" s="42" t="s">
        <v>860</v>
      </c>
      <c r="L210" s="30" t="s">
        <v>1242</v>
      </c>
    </row>
    <row r="211">
      <c r="A211" s="42">
        <v>210.0</v>
      </c>
      <c r="B211" s="42" t="s">
        <v>1243</v>
      </c>
      <c r="C211" s="42">
        <v>1.0</v>
      </c>
      <c r="D211" s="108" t="s">
        <v>1244</v>
      </c>
      <c r="E211" s="42" t="s">
        <v>565</v>
      </c>
      <c r="F211" s="42" t="s">
        <v>977</v>
      </c>
      <c r="L211" s="30" t="s">
        <v>1245</v>
      </c>
    </row>
    <row r="212">
      <c r="A212" s="42">
        <v>211.0</v>
      </c>
      <c r="B212" s="42" t="s">
        <v>1246</v>
      </c>
      <c r="C212" s="42">
        <v>5.0</v>
      </c>
      <c r="D212" s="108" t="s">
        <v>1247</v>
      </c>
      <c r="E212" s="42" t="s">
        <v>537</v>
      </c>
      <c r="F212" s="42" t="s">
        <v>1248</v>
      </c>
      <c r="G212" s="42">
        <v>2.0</v>
      </c>
      <c r="H212" s="42">
        <v>4.0</v>
      </c>
      <c r="I212" s="42">
        <v>6.0</v>
      </c>
      <c r="J212" s="42">
        <v>8.0</v>
      </c>
      <c r="K212" s="42">
        <v>10.0</v>
      </c>
      <c r="L212" s="30" t="s">
        <v>1249</v>
      </c>
    </row>
    <row r="213">
      <c r="A213" s="42">
        <v>212.0</v>
      </c>
      <c r="B213" s="42" t="s">
        <v>1250</v>
      </c>
      <c r="C213" s="42">
        <v>5.0</v>
      </c>
      <c r="D213" s="108" t="s">
        <v>1251</v>
      </c>
      <c r="E213" s="42" t="s">
        <v>537</v>
      </c>
      <c r="F213" s="42" t="s">
        <v>1252</v>
      </c>
      <c r="G213" s="42">
        <v>2.0</v>
      </c>
      <c r="H213" s="42">
        <v>4.0</v>
      </c>
      <c r="I213" s="42">
        <v>6.0</v>
      </c>
      <c r="J213" s="42">
        <v>8.0</v>
      </c>
      <c r="K213" s="42">
        <v>10.0</v>
      </c>
      <c r="L213" s="30" t="s">
        <v>1253</v>
      </c>
    </row>
    <row r="214">
      <c r="A214" s="42">
        <v>213.0</v>
      </c>
      <c r="B214" s="42" t="s">
        <v>1254</v>
      </c>
      <c r="C214" s="42">
        <v>1.0</v>
      </c>
      <c r="D214" s="108" t="s">
        <v>1255</v>
      </c>
      <c r="E214" s="42" t="s">
        <v>600</v>
      </c>
      <c r="F214" s="42" t="s">
        <v>646</v>
      </c>
      <c r="L214" s="30" t="s">
        <v>1256</v>
      </c>
    </row>
    <row r="215">
      <c r="A215" s="42">
        <v>214.0</v>
      </c>
      <c r="B215" s="42" t="s">
        <v>1257</v>
      </c>
      <c r="C215" s="42">
        <v>1.0</v>
      </c>
      <c r="D215" s="108" t="s">
        <v>1258</v>
      </c>
      <c r="E215" s="42" t="s">
        <v>600</v>
      </c>
      <c r="F215" s="42" t="s">
        <v>1259</v>
      </c>
      <c r="L215" s="30" t="s">
        <v>1260</v>
      </c>
    </row>
    <row r="216">
      <c r="A216" s="42">
        <v>215.0</v>
      </c>
      <c r="B216" s="42" t="s">
        <v>1261</v>
      </c>
      <c r="C216" s="42">
        <v>5.0</v>
      </c>
      <c r="D216" s="108" t="s">
        <v>1262</v>
      </c>
      <c r="E216" s="42" t="s">
        <v>537</v>
      </c>
      <c r="F216" s="42" t="s">
        <v>843</v>
      </c>
      <c r="G216" s="42">
        <v>1.0</v>
      </c>
      <c r="H216" s="42">
        <v>2.0</v>
      </c>
      <c r="I216" s="42">
        <v>3.0</v>
      </c>
      <c r="J216" s="42">
        <v>4.0</v>
      </c>
      <c r="K216" s="42">
        <v>5.0</v>
      </c>
      <c r="L216" s="30" t="s">
        <v>1263</v>
      </c>
    </row>
    <row r="217">
      <c r="A217" s="42">
        <v>216.0</v>
      </c>
      <c r="B217" s="42" t="s">
        <v>1264</v>
      </c>
      <c r="C217" s="42">
        <v>5.0</v>
      </c>
      <c r="D217" s="108" t="s">
        <v>1265</v>
      </c>
      <c r="E217" s="42" t="s">
        <v>537</v>
      </c>
      <c r="F217" s="42" t="s">
        <v>692</v>
      </c>
      <c r="G217" s="42">
        <v>6.0</v>
      </c>
      <c r="H217" s="42">
        <v>12.0</v>
      </c>
      <c r="I217" s="42">
        <v>18.0</v>
      </c>
      <c r="J217" s="42">
        <v>24.0</v>
      </c>
      <c r="K217" s="42">
        <v>30.0</v>
      </c>
      <c r="L217" s="30" t="s">
        <v>1266</v>
      </c>
    </row>
    <row r="218">
      <c r="A218" s="42">
        <v>217.0</v>
      </c>
      <c r="B218" s="42" t="s">
        <v>1267</v>
      </c>
      <c r="C218" s="42">
        <v>5.0</v>
      </c>
      <c r="D218" s="108" t="s">
        <v>1268</v>
      </c>
      <c r="E218" s="42" t="s">
        <v>537</v>
      </c>
      <c r="F218" s="42" t="s">
        <v>688</v>
      </c>
      <c r="G218" s="42">
        <v>3.0</v>
      </c>
      <c r="H218" s="42">
        <v>6.0</v>
      </c>
      <c r="I218" s="42">
        <v>9.0</v>
      </c>
      <c r="J218" s="42">
        <v>12.0</v>
      </c>
      <c r="K218" s="42">
        <v>15.0</v>
      </c>
      <c r="L218" s="30" t="s">
        <v>1269</v>
      </c>
    </row>
    <row r="219">
      <c r="A219" s="42">
        <v>218.0</v>
      </c>
      <c r="B219" s="42" t="s">
        <v>1270</v>
      </c>
      <c r="C219" s="42">
        <v>5.0</v>
      </c>
      <c r="D219" s="108" t="s">
        <v>1271</v>
      </c>
      <c r="E219" s="42" t="s">
        <v>537</v>
      </c>
      <c r="F219" s="42" t="s">
        <v>612</v>
      </c>
      <c r="G219" s="42">
        <v>2.0</v>
      </c>
      <c r="H219" s="42">
        <v>4.0</v>
      </c>
      <c r="I219" s="42">
        <v>6.0</v>
      </c>
      <c r="J219" s="42">
        <v>8.0</v>
      </c>
      <c r="K219" s="42">
        <v>10.0</v>
      </c>
      <c r="L219" s="30" t="s">
        <v>1272</v>
      </c>
    </row>
    <row r="220">
      <c r="A220" s="42">
        <v>219.0</v>
      </c>
      <c r="B220" s="42" t="s">
        <v>1273</v>
      </c>
      <c r="C220" s="42">
        <v>5.0</v>
      </c>
      <c r="D220" s="108" t="s">
        <v>1274</v>
      </c>
      <c r="E220" s="42" t="s">
        <v>537</v>
      </c>
      <c r="F220" s="42" t="s">
        <v>594</v>
      </c>
      <c r="G220" s="42">
        <v>1.0</v>
      </c>
      <c r="H220" s="42">
        <v>2.0</v>
      </c>
      <c r="I220" s="42">
        <v>3.0</v>
      </c>
      <c r="J220" s="42">
        <v>4.0</v>
      </c>
      <c r="K220" s="42">
        <v>5.0</v>
      </c>
      <c r="L220" s="30" t="s">
        <v>1275</v>
      </c>
    </row>
    <row r="221">
      <c r="A221" s="42">
        <v>220.0</v>
      </c>
      <c r="B221" s="42" t="s">
        <v>1276</v>
      </c>
      <c r="C221" s="42">
        <v>5.0</v>
      </c>
      <c r="D221" s="108" t="s">
        <v>1277</v>
      </c>
      <c r="E221" s="42" t="s">
        <v>537</v>
      </c>
      <c r="F221" s="42" t="s">
        <v>1076</v>
      </c>
      <c r="G221" s="42">
        <v>1.0</v>
      </c>
      <c r="H221" s="42">
        <v>2.0</v>
      </c>
      <c r="I221" s="42">
        <v>3.0</v>
      </c>
      <c r="J221" s="42">
        <v>4.0</v>
      </c>
      <c r="K221" s="42">
        <v>5.0</v>
      </c>
      <c r="L221" s="30" t="s">
        <v>1278</v>
      </c>
    </row>
    <row r="222">
      <c r="A222" s="42">
        <v>221.0</v>
      </c>
      <c r="B222" s="42" t="s">
        <v>1279</v>
      </c>
      <c r="C222" s="42">
        <v>5.0</v>
      </c>
      <c r="D222" s="108" t="s">
        <v>1280</v>
      </c>
      <c r="E222" s="42" t="s">
        <v>537</v>
      </c>
      <c r="F222" s="42" t="s">
        <v>931</v>
      </c>
      <c r="G222" s="42">
        <v>1.0</v>
      </c>
      <c r="H222" s="42">
        <v>2.0</v>
      </c>
      <c r="I222" s="42">
        <v>3.0</v>
      </c>
      <c r="J222" s="42">
        <v>4.0</v>
      </c>
      <c r="K222" s="42">
        <v>5.0</v>
      </c>
      <c r="L222" s="30" t="s">
        <v>1281</v>
      </c>
    </row>
    <row r="223">
      <c r="A223" s="42">
        <v>222.0</v>
      </c>
      <c r="B223" s="42" t="s">
        <v>1282</v>
      </c>
      <c r="C223" s="42">
        <v>1.0</v>
      </c>
      <c r="D223" s="108" t="s">
        <v>1283</v>
      </c>
      <c r="E223" s="42" t="s">
        <v>600</v>
      </c>
      <c r="F223" s="42" t="s">
        <v>770</v>
      </c>
      <c r="L223" s="42" t="s">
        <v>1284</v>
      </c>
    </row>
    <row r="224">
      <c r="A224" s="42">
        <v>223.0</v>
      </c>
      <c r="B224" s="42" t="s">
        <v>1285</v>
      </c>
      <c r="C224" s="42">
        <v>1.0</v>
      </c>
      <c r="D224" s="108" t="s">
        <v>1286</v>
      </c>
      <c r="E224" s="42" t="s">
        <v>600</v>
      </c>
      <c r="F224" s="42" t="s">
        <v>977</v>
      </c>
      <c r="L224" s="42" t="s">
        <v>1287</v>
      </c>
    </row>
    <row r="225">
      <c r="A225" s="42">
        <v>224.0</v>
      </c>
      <c r="B225" s="42" t="s">
        <v>1288</v>
      </c>
      <c r="C225" s="42">
        <v>5.0</v>
      </c>
      <c r="D225" s="108" t="s">
        <v>1289</v>
      </c>
      <c r="E225" s="42" t="s">
        <v>537</v>
      </c>
      <c r="F225" s="42" t="s">
        <v>864</v>
      </c>
      <c r="G225" s="42">
        <v>1.0</v>
      </c>
      <c r="H225" s="42">
        <v>2.0</v>
      </c>
      <c r="I225" s="42">
        <v>3.0</v>
      </c>
      <c r="J225" s="42">
        <v>4.0</v>
      </c>
      <c r="K225" s="42">
        <v>5.0</v>
      </c>
      <c r="L225" s="30" t="s">
        <v>1290</v>
      </c>
    </row>
    <row r="226">
      <c r="A226" s="42">
        <v>225.0</v>
      </c>
      <c r="B226" s="42" t="s">
        <v>1291</v>
      </c>
      <c r="C226" s="42">
        <v>5.0</v>
      </c>
      <c r="D226" s="108" t="s">
        <v>1292</v>
      </c>
      <c r="E226" s="42" t="s">
        <v>537</v>
      </c>
      <c r="F226" s="42" t="s">
        <v>612</v>
      </c>
      <c r="G226" s="42">
        <v>1.0</v>
      </c>
      <c r="H226" s="42">
        <v>2.0</v>
      </c>
      <c r="I226" s="42">
        <v>3.0</v>
      </c>
      <c r="J226" s="42">
        <v>4.0</v>
      </c>
      <c r="K226" s="42">
        <v>5.0</v>
      </c>
      <c r="L226" s="30" t="s">
        <v>1293</v>
      </c>
    </row>
    <row r="227">
      <c r="A227" s="42">
        <v>226.0</v>
      </c>
      <c r="B227" s="42" t="s">
        <v>1294</v>
      </c>
      <c r="C227" s="42">
        <v>5.0</v>
      </c>
      <c r="D227" s="108" t="s">
        <v>1295</v>
      </c>
      <c r="E227" s="42" t="s">
        <v>537</v>
      </c>
      <c r="F227" s="42" t="s">
        <v>692</v>
      </c>
      <c r="G227" s="42">
        <v>4.0</v>
      </c>
      <c r="H227" s="42">
        <v>8.0</v>
      </c>
      <c r="I227" s="42">
        <v>12.0</v>
      </c>
      <c r="J227" s="42">
        <v>16.0</v>
      </c>
      <c r="K227" s="42">
        <v>20.0</v>
      </c>
      <c r="L227" s="30" t="s">
        <v>1296</v>
      </c>
    </row>
    <row r="228">
      <c r="A228" s="42">
        <v>227.0</v>
      </c>
      <c r="B228" s="42" t="s">
        <v>1297</v>
      </c>
      <c r="C228" s="42">
        <v>3.0</v>
      </c>
      <c r="D228" s="108" t="s">
        <v>1298</v>
      </c>
      <c r="E228" s="42" t="s">
        <v>537</v>
      </c>
      <c r="F228" s="42" t="s">
        <v>1299</v>
      </c>
      <c r="G228" s="42">
        <v>0.4</v>
      </c>
      <c r="H228" s="42">
        <v>0.8</v>
      </c>
      <c r="I228" s="42">
        <v>1.2</v>
      </c>
      <c r="L228" s="30" t="s">
        <v>1300</v>
      </c>
    </row>
    <row r="229">
      <c r="A229" s="42">
        <v>228.0</v>
      </c>
      <c r="B229" s="42" t="s">
        <v>1297</v>
      </c>
      <c r="C229" s="42">
        <v>5.0</v>
      </c>
      <c r="D229" s="108" t="s">
        <v>1298</v>
      </c>
      <c r="E229" s="42" t="s">
        <v>537</v>
      </c>
      <c r="F229" s="42" t="s">
        <v>1299</v>
      </c>
      <c r="G229" s="42">
        <v>0.4</v>
      </c>
      <c r="H229" s="42">
        <v>0.8</v>
      </c>
      <c r="I229" s="42">
        <v>1.2</v>
      </c>
      <c r="J229" s="42">
        <v>1.6</v>
      </c>
      <c r="K229" s="42">
        <v>2.0</v>
      </c>
      <c r="L229" s="30" t="s">
        <v>1300</v>
      </c>
    </row>
    <row r="230">
      <c r="A230" s="42">
        <v>229.0</v>
      </c>
      <c r="B230" s="42" t="s">
        <v>1301</v>
      </c>
      <c r="C230" s="42">
        <v>5.0</v>
      </c>
      <c r="D230" s="108" t="s">
        <v>1302</v>
      </c>
      <c r="E230" s="42" t="s">
        <v>537</v>
      </c>
      <c r="F230" s="42" t="s">
        <v>1303</v>
      </c>
      <c r="G230" s="42">
        <v>5.0</v>
      </c>
      <c r="H230" s="42">
        <v>10.0</v>
      </c>
      <c r="I230" s="42">
        <v>15.0</v>
      </c>
      <c r="J230" s="42">
        <v>20.0</v>
      </c>
      <c r="K230" s="42">
        <v>25.0</v>
      </c>
      <c r="L230" s="30" t="s">
        <v>1304</v>
      </c>
    </row>
    <row r="231">
      <c r="A231" s="42">
        <v>230.0</v>
      </c>
      <c r="B231" s="42" t="s">
        <v>1305</v>
      </c>
      <c r="C231" s="42">
        <v>5.0</v>
      </c>
      <c r="D231" s="108" t="s">
        <v>1306</v>
      </c>
      <c r="E231" s="42" t="s">
        <v>537</v>
      </c>
      <c r="F231" s="42" t="s">
        <v>542</v>
      </c>
      <c r="G231" s="42">
        <v>5.0</v>
      </c>
      <c r="H231" s="42">
        <v>10.0</v>
      </c>
      <c r="I231" s="42">
        <v>15.0</v>
      </c>
      <c r="J231" s="42">
        <v>20.0</v>
      </c>
      <c r="K231" s="42">
        <v>25.0</v>
      </c>
      <c r="L231" s="42" t="s">
        <v>1307</v>
      </c>
    </row>
    <row r="232">
      <c r="A232" s="42">
        <v>231.0</v>
      </c>
      <c r="B232" s="42" t="s">
        <v>1308</v>
      </c>
      <c r="C232" s="42">
        <v>5.0</v>
      </c>
      <c r="D232" s="108" t="s">
        <v>1309</v>
      </c>
      <c r="E232" s="42" t="s">
        <v>537</v>
      </c>
      <c r="F232" s="42" t="s">
        <v>629</v>
      </c>
      <c r="G232" s="42">
        <v>5.0</v>
      </c>
      <c r="H232" s="42">
        <v>10.0</v>
      </c>
      <c r="I232" s="42">
        <v>15.0</v>
      </c>
      <c r="J232" s="42">
        <v>20.0</v>
      </c>
      <c r="K232" s="42">
        <v>25.0</v>
      </c>
      <c r="L232" s="30" t="s">
        <v>1310</v>
      </c>
    </row>
    <row r="233">
      <c r="A233" s="42">
        <v>232.0</v>
      </c>
      <c r="B233" s="42" t="s">
        <v>1311</v>
      </c>
      <c r="C233" s="42">
        <v>5.0</v>
      </c>
      <c r="D233" s="108" t="s">
        <v>1312</v>
      </c>
      <c r="E233" s="42" t="s">
        <v>537</v>
      </c>
      <c r="F233" s="42" t="s">
        <v>977</v>
      </c>
      <c r="G233" s="42">
        <v>5.0</v>
      </c>
      <c r="H233" s="42">
        <v>10.0</v>
      </c>
      <c r="I233" s="42">
        <v>15.0</v>
      </c>
      <c r="J233" s="42">
        <v>20.0</v>
      </c>
      <c r="K233" s="42">
        <v>25.0</v>
      </c>
      <c r="L233" s="30" t="s">
        <v>1313</v>
      </c>
    </row>
    <row r="234">
      <c r="A234" s="42">
        <v>233.0</v>
      </c>
      <c r="B234" s="42" t="s">
        <v>1314</v>
      </c>
      <c r="C234" s="42">
        <v>5.0</v>
      </c>
      <c r="D234" s="108" t="s">
        <v>1315</v>
      </c>
      <c r="E234" s="42" t="s">
        <v>537</v>
      </c>
      <c r="F234" s="42" t="s">
        <v>1248</v>
      </c>
      <c r="G234" s="42">
        <v>5.0</v>
      </c>
      <c r="H234" s="42">
        <v>10.0</v>
      </c>
      <c r="I234" s="42">
        <v>15.0</v>
      </c>
      <c r="J234" s="42">
        <v>20.0</v>
      </c>
      <c r="K234" s="42">
        <v>25.0</v>
      </c>
      <c r="L234" s="30" t="s">
        <v>1316</v>
      </c>
    </row>
    <row r="235">
      <c r="A235" s="42">
        <v>234.0</v>
      </c>
      <c r="B235" s="42" t="s">
        <v>1317</v>
      </c>
      <c r="C235" s="42">
        <v>5.0</v>
      </c>
      <c r="D235" s="108" t="s">
        <v>1318</v>
      </c>
      <c r="E235" s="42" t="s">
        <v>537</v>
      </c>
      <c r="F235" s="42" t="s">
        <v>554</v>
      </c>
      <c r="G235" s="42">
        <v>5.0</v>
      </c>
      <c r="H235" s="42">
        <v>10.0</v>
      </c>
      <c r="I235" s="42">
        <v>15.0</v>
      </c>
      <c r="J235" s="42">
        <v>20.0</v>
      </c>
      <c r="K235" s="42">
        <v>25.0</v>
      </c>
      <c r="L235" s="30" t="s">
        <v>1319</v>
      </c>
    </row>
    <row r="236">
      <c r="A236" s="42">
        <v>235.0</v>
      </c>
      <c r="B236" s="42" t="s">
        <v>1320</v>
      </c>
      <c r="C236" s="42">
        <v>1.0</v>
      </c>
      <c r="D236" s="108" t="s">
        <v>1321</v>
      </c>
      <c r="E236" s="42" t="s">
        <v>600</v>
      </c>
      <c r="F236" s="42" t="s">
        <v>662</v>
      </c>
      <c r="L236" s="30" t="s">
        <v>1322</v>
      </c>
    </row>
    <row r="237">
      <c r="A237" s="42">
        <v>236.0</v>
      </c>
      <c r="B237" s="42" t="s">
        <v>1323</v>
      </c>
      <c r="C237" s="42">
        <v>1.0</v>
      </c>
      <c r="D237" s="108" t="s">
        <v>1324</v>
      </c>
      <c r="E237" s="42" t="s">
        <v>600</v>
      </c>
      <c r="F237" s="42" t="s">
        <v>1173</v>
      </c>
      <c r="L237" s="30" t="s">
        <v>1325</v>
      </c>
    </row>
    <row r="238">
      <c r="A238" s="42">
        <v>237.0</v>
      </c>
      <c r="B238" s="42" t="s">
        <v>701</v>
      </c>
      <c r="C238" s="42">
        <v>5.0</v>
      </c>
      <c r="D238" s="42" t="s">
        <v>702</v>
      </c>
      <c r="E238" s="42" t="s">
        <v>537</v>
      </c>
      <c r="F238" s="42" t="s">
        <v>662</v>
      </c>
      <c r="G238" s="42">
        <v>500.0</v>
      </c>
      <c r="H238" s="42">
        <v>1000.0</v>
      </c>
      <c r="I238" s="42">
        <v>1500.0</v>
      </c>
      <c r="J238" s="42">
        <v>2000.0</v>
      </c>
      <c r="K238" s="42">
        <v>2500.0</v>
      </c>
      <c r="L238" s="30" t="s">
        <v>703</v>
      </c>
    </row>
    <row r="239">
      <c r="A239" s="42">
        <v>238.0</v>
      </c>
      <c r="B239" s="42" t="s">
        <v>1197</v>
      </c>
      <c r="C239" s="42">
        <v>5.0</v>
      </c>
      <c r="D239" s="42" t="s">
        <v>1326</v>
      </c>
      <c r="E239" s="42" t="s">
        <v>537</v>
      </c>
      <c r="F239" s="42" t="s">
        <v>612</v>
      </c>
      <c r="G239" s="42">
        <v>4.0</v>
      </c>
      <c r="H239" s="42">
        <v>8.0</v>
      </c>
      <c r="I239" s="42">
        <v>12.0</v>
      </c>
      <c r="J239" s="42">
        <v>16.0</v>
      </c>
      <c r="K239" s="42">
        <v>20.0</v>
      </c>
      <c r="L239" s="30" t="s">
        <v>1199</v>
      </c>
    </row>
    <row r="240">
      <c r="A240" s="42">
        <v>239.0</v>
      </c>
      <c r="B240" s="42" t="s">
        <v>1327</v>
      </c>
      <c r="C240" s="42">
        <v>5.0</v>
      </c>
      <c r="D240" s="42" t="s">
        <v>1328</v>
      </c>
      <c r="E240" s="42" t="s">
        <v>537</v>
      </c>
      <c r="F240" s="42" t="s">
        <v>635</v>
      </c>
      <c r="G240" s="42">
        <v>20.0</v>
      </c>
      <c r="H240" s="42">
        <v>40.0</v>
      </c>
      <c r="I240" s="42">
        <v>60.0</v>
      </c>
      <c r="J240" s="42">
        <v>80.0</v>
      </c>
      <c r="K240" s="42">
        <v>100.0</v>
      </c>
      <c r="L240" s="30" t="s">
        <v>1329</v>
      </c>
    </row>
    <row r="241">
      <c r="A241" s="42">
        <v>240.0</v>
      </c>
      <c r="B241" s="42" t="s">
        <v>1330</v>
      </c>
      <c r="C241" s="42">
        <v>5.0</v>
      </c>
      <c r="D241" s="42" t="s">
        <v>1331</v>
      </c>
      <c r="E241" s="42" t="s">
        <v>537</v>
      </c>
      <c r="F241" s="42" t="s">
        <v>1303</v>
      </c>
      <c r="G241" s="42">
        <v>20.0</v>
      </c>
      <c r="H241" s="42">
        <v>40.0</v>
      </c>
      <c r="I241" s="42">
        <v>60.0</v>
      </c>
      <c r="J241" s="42">
        <v>80.0</v>
      </c>
      <c r="K241" s="42">
        <v>100.0</v>
      </c>
      <c r="L241" s="30" t="s">
        <v>1332</v>
      </c>
    </row>
    <row r="242">
      <c r="A242" s="42">
        <v>241.0</v>
      </c>
      <c r="B242" s="42" t="s">
        <v>1333</v>
      </c>
      <c r="C242" s="42">
        <v>1.0</v>
      </c>
      <c r="D242" s="42" t="s">
        <v>1334</v>
      </c>
      <c r="E242" s="42" t="s">
        <v>537</v>
      </c>
      <c r="F242" s="42" t="s">
        <v>1205</v>
      </c>
      <c r="L242" s="30" t="s">
        <v>1335</v>
      </c>
    </row>
    <row r="243">
      <c r="A243" s="42">
        <v>242.0</v>
      </c>
      <c r="B243" s="42" t="s">
        <v>1336</v>
      </c>
      <c r="C243" s="42">
        <v>1.0</v>
      </c>
      <c r="D243" s="42" t="s">
        <v>1337</v>
      </c>
      <c r="E243" s="42" t="s">
        <v>600</v>
      </c>
      <c r="F243" s="42" t="s">
        <v>678</v>
      </c>
      <c r="L243" s="30" t="s">
        <v>1338</v>
      </c>
    </row>
    <row r="244">
      <c r="A244" s="42">
        <v>243.0</v>
      </c>
      <c r="B244" s="42" t="s">
        <v>1339</v>
      </c>
      <c r="C244" s="42">
        <v>1.0</v>
      </c>
      <c r="D244" s="42" t="s">
        <v>1340</v>
      </c>
      <c r="E244" s="42" t="s">
        <v>600</v>
      </c>
      <c r="F244" s="42" t="s">
        <v>672</v>
      </c>
      <c r="L244" s="30" t="s">
        <v>1341</v>
      </c>
    </row>
    <row r="245">
      <c r="A245" s="30">
        <v>244.0</v>
      </c>
      <c r="B245" s="30" t="s">
        <v>1342</v>
      </c>
      <c r="C245" s="30">
        <v>5.0</v>
      </c>
      <c r="D245" s="30" t="s">
        <v>1343</v>
      </c>
      <c r="E245" s="42" t="s">
        <v>537</v>
      </c>
      <c r="F245" s="30" t="s">
        <v>847</v>
      </c>
      <c r="G245" s="30">
        <v>15.0</v>
      </c>
      <c r="H245" s="30">
        <v>30.0</v>
      </c>
      <c r="I245" s="30">
        <v>45.0</v>
      </c>
      <c r="J245" s="30">
        <v>60.0</v>
      </c>
      <c r="K245" s="30">
        <v>75.0</v>
      </c>
      <c r="L245" s="30" t="s">
        <v>1344</v>
      </c>
    </row>
    <row r="246">
      <c r="A246" s="42">
        <v>245.0</v>
      </c>
      <c r="B246" s="42" t="s">
        <v>1345</v>
      </c>
      <c r="C246" s="42">
        <v>5.0</v>
      </c>
      <c r="D246" s="42" t="s">
        <v>1346</v>
      </c>
      <c r="E246" s="42" t="s">
        <v>537</v>
      </c>
      <c r="F246" s="30" t="s">
        <v>566</v>
      </c>
      <c r="G246" s="30">
        <v>0.5</v>
      </c>
      <c r="H246" s="30">
        <v>1.0</v>
      </c>
      <c r="I246" s="30">
        <v>1.5</v>
      </c>
      <c r="J246" s="30">
        <v>2.0</v>
      </c>
      <c r="K246" s="30">
        <v>2.5</v>
      </c>
      <c r="L246" s="30" t="s">
        <v>1347</v>
      </c>
    </row>
    <row r="247">
      <c r="A247" s="42">
        <v>246.0</v>
      </c>
      <c r="B247" s="42" t="s">
        <v>1348</v>
      </c>
      <c r="C247" s="42">
        <v>5.0</v>
      </c>
      <c r="D247" s="42" t="s">
        <v>1349</v>
      </c>
      <c r="E247" s="42" t="s">
        <v>537</v>
      </c>
      <c r="F247" s="30" t="s">
        <v>574</v>
      </c>
      <c r="G247" s="30">
        <v>2.0</v>
      </c>
      <c r="H247" s="30">
        <v>4.0</v>
      </c>
      <c r="I247" s="30">
        <v>6.0</v>
      </c>
      <c r="J247" s="30">
        <v>8.0</v>
      </c>
      <c r="K247" s="30">
        <v>10.0</v>
      </c>
      <c r="L247" s="30" t="s">
        <v>1350</v>
      </c>
    </row>
    <row r="248">
      <c r="A248" s="42">
        <v>247.0</v>
      </c>
      <c r="B248" s="42" t="s">
        <v>1351</v>
      </c>
      <c r="C248" s="42">
        <v>5.0</v>
      </c>
      <c r="D248" s="42" t="s">
        <v>1352</v>
      </c>
      <c r="E248" s="42" t="s">
        <v>537</v>
      </c>
      <c r="F248" s="30" t="s">
        <v>574</v>
      </c>
      <c r="G248" s="30">
        <v>0.8</v>
      </c>
      <c r="H248" s="30">
        <v>1.6</v>
      </c>
      <c r="I248" s="30">
        <v>2.4</v>
      </c>
      <c r="J248" s="30">
        <v>3.2</v>
      </c>
      <c r="K248" s="30">
        <v>4.0</v>
      </c>
      <c r="L248" s="30" t="s">
        <v>1353</v>
      </c>
    </row>
    <row r="249">
      <c r="A249" s="42">
        <v>248.0</v>
      </c>
      <c r="B249" s="42" t="s">
        <v>1354</v>
      </c>
      <c r="C249" s="42">
        <v>5.0</v>
      </c>
      <c r="D249" s="42" t="s">
        <v>1355</v>
      </c>
      <c r="E249" s="42" t="s">
        <v>537</v>
      </c>
      <c r="F249" s="42" t="s">
        <v>560</v>
      </c>
      <c r="G249" s="42">
        <v>1.5</v>
      </c>
      <c r="H249" s="42">
        <v>3.0</v>
      </c>
      <c r="I249" s="42">
        <v>4.5</v>
      </c>
      <c r="J249" s="42">
        <v>6.0</v>
      </c>
      <c r="K249" s="42">
        <v>7.5</v>
      </c>
      <c r="L249" s="42" t="s">
        <v>1356</v>
      </c>
    </row>
    <row r="250">
      <c r="A250" s="42">
        <v>249.0</v>
      </c>
      <c r="B250" s="42" t="s">
        <v>1357</v>
      </c>
      <c r="C250" s="42">
        <v>5.0</v>
      </c>
      <c r="D250" s="108" t="s">
        <v>1358</v>
      </c>
      <c r="E250" s="42" t="s">
        <v>537</v>
      </c>
      <c r="F250" s="42" t="s">
        <v>688</v>
      </c>
      <c r="G250" s="42">
        <v>2.0</v>
      </c>
      <c r="H250" s="42">
        <v>4.0</v>
      </c>
      <c r="I250" s="42">
        <v>6.0</v>
      </c>
      <c r="J250" s="42">
        <v>8.0</v>
      </c>
      <c r="K250" s="42">
        <v>10.0</v>
      </c>
      <c r="L250" s="109" t="s">
        <v>1359</v>
      </c>
    </row>
    <row r="251">
      <c r="A251" s="42">
        <v>250.0</v>
      </c>
      <c r="B251" s="42" t="s">
        <v>1360</v>
      </c>
      <c r="C251" s="42">
        <v>5.0</v>
      </c>
      <c r="D251" s="42" t="s">
        <v>1361</v>
      </c>
      <c r="E251" s="42" t="s">
        <v>537</v>
      </c>
      <c r="F251" s="42" t="s">
        <v>692</v>
      </c>
      <c r="G251" s="42">
        <v>4.0</v>
      </c>
      <c r="H251" s="42">
        <v>8.0</v>
      </c>
      <c r="I251" s="42">
        <v>12.0</v>
      </c>
      <c r="J251" s="42">
        <v>16.0</v>
      </c>
      <c r="K251" s="42">
        <v>20.0</v>
      </c>
      <c r="L251" s="109" t="s">
        <v>1362</v>
      </c>
    </row>
    <row r="252">
      <c r="A252" s="42">
        <v>251.0</v>
      </c>
      <c r="B252" s="42" t="s">
        <v>1363</v>
      </c>
      <c r="C252" s="42">
        <v>5.0</v>
      </c>
      <c r="D252" s="42" t="s">
        <v>1364</v>
      </c>
      <c r="E252" s="42" t="s">
        <v>537</v>
      </c>
      <c r="F252" s="42" t="s">
        <v>584</v>
      </c>
      <c r="G252" s="42">
        <v>2.0</v>
      </c>
      <c r="H252" s="42">
        <v>4.0</v>
      </c>
      <c r="I252" s="42">
        <v>6.0</v>
      </c>
      <c r="J252" s="42">
        <v>8.0</v>
      </c>
      <c r="K252" s="42">
        <v>10.0</v>
      </c>
      <c r="L252" s="42" t="s">
        <v>1365</v>
      </c>
    </row>
    <row r="253">
      <c r="A253" s="42">
        <v>252.0</v>
      </c>
      <c r="B253" s="42" t="s">
        <v>1366</v>
      </c>
      <c r="C253" s="42">
        <v>5.0</v>
      </c>
      <c r="D253" s="42" t="s">
        <v>1367</v>
      </c>
      <c r="E253" s="42" t="s">
        <v>537</v>
      </c>
      <c r="F253" s="42" t="s">
        <v>793</v>
      </c>
      <c r="G253" s="42">
        <v>0.6</v>
      </c>
      <c r="H253" s="42">
        <v>1.2</v>
      </c>
      <c r="I253" s="42">
        <v>1.8</v>
      </c>
      <c r="J253" s="42">
        <v>2.4</v>
      </c>
      <c r="K253" s="42">
        <v>3.0</v>
      </c>
      <c r="L253" s="42" t="s">
        <v>1368</v>
      </c>
    </row>
    <row r="258">
      <c r="G258" s="42" t="s">
        <v>162</v>
      </c>
    </row>
  </sheetData>
  <dataValidations>
    <dataValidation type="list" allowBlank="1" showErrorMessage="1" sqref="E2:E253">
      <formula1>"node,major_node,main_node"</formula1>
    </dataValidation>
  </dataValidation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13.5"/>
    <col customWidth="1" min="4" max="4" width="13.88"/>
    <col customWidth="1" min="5" max="5" width="16.75"/>
    <col customWidth="1" min="6" max="6" width="14.0"/>
  </cols>
  <sheetData>
    <row r="1">
      <c r="A1" s="113" t="s">
        <v>86</v>
      </c>
      <c r="B1" s="113" t="s">
        <v>1369</v>
      </c>
      <c r="C1" s="113" t="s">
        <v>141</v>
      </c>
      <c r="D1" s="113" t="s">
        <v>142</v>
      </c>
      <c r="E1" s="113" t="s">
        <v>143</v>
      </c>
      <c r="F1" s="113" t="s">
        <v>144</v>
      </c>
      <c r="G1" s="113" t="s">
        <v>150</v>
      </c>
      <c r="H1" s="106" t="s">
        <v>258</v>
      </c>
    </row>
    <row r="2">
      <c r="A2" s="42" t="s">
        <v>1370</v>
      </c>
      <c r="B2" s="42" t="s">
        <v>1371</v>
      </c>
      <c r="C2" s="42" t="s">
        <v>364</v>
      </c>
      <c r="D2" s="42" t="s">
        <v>523</v>
      </c>
      <c r="E2" s="42" t="s">
        <v>317</v>
      </c>
      <c r="F2" s="42" t="s">
        <v>205</v>
      </c>
      <c r="G2" s="42">
        <v>1.0</v>
      </c>
      <c r="H2" s="42" t="b">
        <v>0</v>
      </c>
    </row>
    <row r="3">
      <c r="A3" s="42" t="s">
        <v>1372</v>
      </c>
      <c r="B3" s="42" t="s">
        <v>1373</v>
      </c>
      <c r="C3" s="42" t="s">
        <v>364</v>
      </c>
      <c r="D3" s="42" t="s">
        <v>523</v>
      </c>
      <c r="E3" s="42" t="s">
        <v>1374</v>
      </c>
      <c r="F3" s="42" t="s">
        <v>522</v>
      </c>
      <c r="G3" s="42">
        <v>1.0</v>
      </c>
      <c r="H3" s="42" t="b">
        <v>0</v>
      </c>
    </row>
    <row r="4">
      <c r="A4" s="42" t="s">
        <v>1375</v>
      </c>
      <c r="B4" s="42" t="s">
        <v>1376</v>
      </c>
      <c r="C4" s="42" t="s">
        <v>364</v>
      </c>
      <c r="D4" s="42" t="s">
        <v>523</v>
      </c>
      <c r="E4" s="42" t="s">
        <v>1374</v>
      </c>
      <c r="F4" s="42" t="s">
        <v>194</v>
      </c>
      <c r="G4" s="42">
        <v>1.0</v>
      </c>
      <c r="H4" s="42" t="b">
        <v>0</v>
      </c>
    </row>
    <row r="5">
      <c r="A5" s="42" t="s">
        <v>1377</v>
      </c>
      <c r="B5" s="42" t="s">
        <v>1378</v>
      </c>
      <c r="C5" s="42" t="s">
        <v>278</v>
      </c>
      <c r="D5" s="42" t="s">
        <v>523</v>
      </c>
      <c r="E5" s="42" t="s">
        <v>1374</v>
      </c>
      <c r="F5" s="42" t="s">
        <v>194</v>
      </c>
      <c r="G5" s="42">
        <v>1.0</v>
      </c>
      <c r="H5" s="42" t="b">
        <v>0</v>
      </c>
    </row>
    <row r="6">
      <c r="A6" s="42" t="s">
        <v>1379</v>
      </c>
      <c r="B6" s="42" t="s">
        <v>1380</v>
      </c>
      <c r="C6" s="42" t="s">
        <v>278</v>
      </c>
      <c r="D6" s="42" t="s">
        <v>193</v>
      </c>
      <c r="E6" s="42" t="s">
        <v>156</v>
      </c>
      <c r="F6" s="42" t="s">
        <v>217</v>
      </c>
      <c r="G6" s="42">
        <v>1.0</v>
      </c>
      <c r="H6" s="42" t="b">
        <v>1</v>
      </c>
    </row>
    <row r="7">
      <c r="A7" s="42" t="s">
        <v>1381</v>
      </c>
      <c r="B7" s="42" t="s">
        <v>1382</v>
      </c>
      <c r="C7" s="42" t="s">
        <v>278</v>
      </c>
      <c r="D7" s="42" t="s">
        <v>193</v>
      </c>
      <c r="E7" s="42" t="s">
        <v>156</v>
      </c>
      <c r="F7" s="42" t="s">
        <v>522</v>
      </c>
      <c r="G7" s="42">
        <v>1.0</v>
      </c>
      <c r="H7" s="42" t="b">
        <v>0</v>
      </c>
    </row>
    <row r="8">
      <c r="A8" s="42" t="s">
        <v>1383</v>
      </c>
      <c r="B8" s="42" t="s">
        <v>1384</v>
      </c>
      <c r="C8" s="42" t="s">
        <v>278</v>
      </c>
      <c r="D8" s="42" t="s">
        <v>211</v>
      </c>
      <c r="E8" s="42" t="s">
        <v>180</v>
      </c>
      <c r="F8" s="42" t="s">
        <v>521</v>
      </c>
      <c r="G8" s="42">
        <v>1.0</v>
      </c>
      <c r="H8" s="42" t="b">
        <v>0</v>
      </c>
    </row>
    <row r="9">
      <c r="A9" s="42" t="s">
        <v>1385</v>
      </c>
      <c r="B9" s="42" t="s">
        <v>1386</v>
      </c>
      <c r="C9" s="42" t="s">
        <v>278</v>
      </c>
      <c r="D9" s="42" t="s">
        <v>211</v>
      </c>
      <c r="E9" s="42" t="s">
        <v>317</v>
      </c>
      <c r="F9" s="42" t="s">
        <v>217</v>
      </c>
      <c r="G9" s="42">
        <v>1.0</v>
      </c>
      <c r="H9" s="42" t="b">
        <v>1</v>
      </c>
    </row>
    <row r="10">
      <c r="A10" s="42" t="s">
        <v>1387</v>
      </c>
      <c r="B10" s="42" t="s">
        <v>1388</v>
      </c>
      <c r="C10" s="42" t="s">
        <v>278</v>
      </c>
      <c r="D10" s="42" t="s">
        <v>155</v>
      </c>
      <c r="E10" s="42" t="s">
        <v>187</v>
      </c>
      <c r="F10" s="42" t="s">
        <v>205</v>
      </c>
      <c r="G10" s="42">
        <v>1.0</v>
      </c>
      <c r="H10" s="42" t="b">
        <v>0</v>
      </c>
    </row>
    <row r="11">
      <c r="A11" s="42" t="s">
        <v>1389</v>
      </c>
      <c r="B11" s="42" t="s">
        <v>1390</v>
      </c>
      <c r="C11" s="42" t="s">
        <v>278</v>
      </c>
      <c r="D11" s="42" t="s">
        <v>193</v>
      </c>
      <c r="E11" s="42" t="s">
        <v>156</v>
      </c>
      <c r="F11" s="42" t="s">
        <v>227</v>
      </c>
      <c r="G11" s="42">
        <v>1.0</v>
      </c>
      <c r="H11" s="42" t="b">
        <v>0</v>
      </c>
    </row>
    <row r="12">
      <c r="A12" s="42" t="s">
        <v>1391</v>
      </c>
      <c r="B12" s="42" t="s">
        <v>1392</v>
      </c>
      <c r="C12" s="42" t="s">
        <v>278</v>
      </c>
      <c r="D12" s="42" t="s">
        <v>166</v>
      </c>
      <c r="E12" s="42" t="s">
        <v>237</v>
      </c>
      <c r="F12" s="42" t="s">
        <v>522</v>
      </c>
      <c r="G12" s="42">
        <v>1.0</v>
      </c>
      <c r="H12" s="42" t="b">
        <v>0</v>
      </c>
    </row>
    <row r="13">
      <c r="A13" s="42" t="s">
        <v>1393</v>
      </c>
      <c r="B13" s="42" t="s">
        <v>1394</v>
      </c>
      <c r="C13" s="42" t="s">
        <v>278</v>
      </c>
      <c r="D13" s="42" t="s">
        <v>523</v>
      </c>
      <c r="E13" s="42" t="s">
        <v>180</v>
      </c>
      <c r="F13" s="42" t="s">
        <v>194</v>
      </c>
      <c r="G13" s="42">
        <v>1.0</v>
      </c>
      <c r="H13" s="42" t="b">
        <v>0</v>
      </c>
    </row>
    <row r="14">
      <c r="A14" s="42" t="s">
        <v>1395</v>
      </c>
      <c r="B14" s="42" t="s">
        <v>1396</v>
      </c>
      <c r="C14" s="42" t="s">
        <v>154</v>
      </c>
      <c r="D14" s="42" t="s">
        <v>193</v>
      </c>
      <c r="E14" s="42" t="s">
        <v>180</v>
      </c>
      <c r="F14" s="42" t="s">
        <v>522</v>
      </c>
      <c r="G14" s="42">
        <v>1.0</v>
      </c>
      <c r="H14" s="42" t="b">
        <v>0</v>
      </c>
    </row>
    <row r="15">
      <c r="A15" s="42" t="s">
        <v>1397</v>
      </c>
      <c r="B15" s="42" t="s">
        <v>1398</v>
      </c>
      <c r="C15" s="42" t="s">
        <v>154</v>
      </c>
      <c r="D15" s="42" t="s">
        <v>193</v>
      </c>
      <c r="E15" s="42" t="s">
        <v>156</v>
      </c>
      <c r="F15" s="42" t="s">
        <v>227</v>
      </c>
      <c r="G15" s="42">
        <v>1.0</v>
      </c>
      <c r="H15" s="42" t="b">
        <v>0</v>
      </c>
    </row>
    <row r="16">
      <c r="A16" s="42" t="s">
        <v>1399</v>
      </c>
      <c r="B16" s="42" t="s">
        <v>1400</v>
      </c>
      <c r="C16" s="42" t="s">
        <v>154</v>
      </c>
      <c r="D16" s="42" t="s">
        <v>155</v>
      </c>
      <c r="E16" s="42" t="s">
        <v>180</v>
      </c>
      <c r="F16" s="42" t="s">
        <v>522</v>
      </c>
      <c r="G16" s="42">
        <v>1.0</v>
      </c>
      <c r="H16" s="42" t="b">
        <v>0</v>
      </c>
    </row>
    <row r="17">
      <c r="A17" s="42" t="s">
        <v>1401</v>
      </c>
      <c r="B17" s="42" t="s">
        <v>1402</v>
      </c>
      <c r="C17" s="42" t="s">
        <v>154</v>
      </c>
      <c r="D17" s="42" t="s">
        <v>166</v>
      </c>
      <c r="E17" s="42" t="s">
        <v>237</v>
      </c>
      <c r="F17" s="42" t="s">
        <v>205</v>
      </c>
      <c r="G17" s="42">
        <v>1.0</v>
      </c>
      <c r="H17" s="42" t="b">
        <v>0</v>
      </c>
    </row>
    <row r="18">
      <c r="A18" s="42" t="s">
        <v>1403</v>
      </c>
      <c r="B18" s="42" t="s">
        <v>1404</v>
      </c>
      <c r="C18" s="42" t="s">
        <v>154</v>
      </c>
      <c r="D18" s="42" t="s">
        <v>523</v>
      </c>
      <c r="E18" s="42" t="s">
        <v>156</v>
      </c>
      <c r="F18" s="42" t="s">
        <v>194</v>
      </c>
      <c r="G18" s="42">
        <v>1.0</v>
      </c>
      <c r="H18" s="42" t="b">
        <v>1</v>
      </c>
    </row>
    <row r="19">
      <c r="A19" s="42" t="s">
        <v>1405</v>
      </c>
      <c r="B19" s="42" t="s">
        <v>1406</v>
      </c>
      <c r="C19" s="42" t="s">
        <v>154</v>
      </c>
      <c r="D19" s="42" t="s">
        <v>211</v>
      </c>
      <c r="E19" s="42" t="s">
        <v>156</v>
      </c>
      <c r="F19" s="42" t="s">
        <v>227</v>
      </c>
      <c r="G19" s="42">
        <v>1.0</v>
      </c>
      <c r="H19" s="42" t="b">
        <v>0</v>
      </c>
    </row>
    <row r="20">
      <c r="A20" s="42" t="s">
        <v>1407</v>
      </c>
      <c r="B20" s="42" t="s">
        <v>1408</v>
      </c>
      <c r="C20" s="42" t="s">
        <v>154</v>
      </c>
      <c r="D20" s="42" t="s">
        <v>155</v>
      </c>
      <c r="E20" s="42" t="s">
        <v>156</v>
      </c>
      <c r="F20" s="42" t="s">
        <v>217</v>
      </c>
      <c r="G20" s="42">
        <v>1.0</v>
      </c>
      <c r="H20" s="42" t="b">
        <v>0</v>
      </c>
    </row>
    <row r="21">
      <c r="A21" s="42" t="s">
        <v>1409</v>
      </c>
      <c r="B21" s="42" t="s">
        <v>1410</v>
      </c>
      <c r="C21" s="42" t="s">
        <v>154</v>
      </c>
      <c r="D21" s="42" t="s">
        <v>523</v>
      </c>
      <c r="E21" s="42" t="s">
        <v>1374</v>
      </c>
      <c r="F21" s="42" t="s">
        <v>194</v>
      </c>
      <c r="G21" s="42">
        <v>1.0</v>
      </c>
      <c r="H21" s="42" t="b">
        <v>0</v>
      </c>
    </row>
    <row r="22">
      <c r="A22" s="42" t="s">
        <v>1411</v>
      </c>
      <c r="B22" s="42" t="s">
        <v>1412</v>
      </c>
      <c r="C22" s="42" t="s">
        <v>154</v>
      </c>
      <c r="D22" s="42" t="s">
        <v>211</v>
      </c>
      <c r="E22" s="42" t="s">
        <v>156</v>
      </c>
      <c r="F22" s="42" t="s">
        <v>521</v>
      </c>
      <c r="G22" s="42">
        <v>1.0</v>
      </c>
      <c r="H22" s="42" t="b">
        <v>0</v>
      </c>
    </row>
    <row r="23">
      <c r="A23" s="42" t="s">
        <v>1413</v>
      </c>
      <c r="B23" s="42" t="s">
        <v>1414</v>
      </c>
      <c r="C23" s="42" t="s">
        <v>154</v>
      </c>
      <c r="D23" s="42" t="s">
        <v>166</v>
      </c>
      <c r="E23" s="42" t="s">
        <v>180</v>
      </c>
      <c r="F23" s="42" t="s">
        <v>522</v>
      </c>
      <c r="G23" s="42">
        <v>1.0</v>
      </c>
      <c r="H23" s="42" t="b">
        <v>0</v>
      </c>
    </row>
    <row r="24">
      <c r="A24" s="42" t="s">
        <v>1415</v>
      </c>
      <c r="B24" s="42" t="s">
        <v>1416</v>
      </c>
      <c r="C24" s="42" t="s">
        <v>154</v>
      </c>
      <c r="D24" s="42" t="s">
        <v>523</v>
      </c>
      <c r="E24" s="42" t="s">
        <v>187</v>
      </c>
      <c r="F24" s="42" t="s">
        <v>521</v>
      </c>
      <c r="G24" s="42">
        <v>1.0</v>
      </c>
      <c r="H24" s="42" t="b">
        <v>0</v>
      </c>
    </row>
    <row r="25">
      <c r="A25" s="42" t="s">
        <v>1417</v>
      </c>
      <c r="B25" s="42" t="s">
        <v>1418</v>
      </c>
      <c r="C25" s="42" t="s">
        <v>154</v>
      </c>
      <c r="D25" s="42" t="s">
        <v>523</v>
      </c>
      <c r="E25" s="42" t="s">
        <v>156</v>
      </c>
      <c r="F25" s="42" t="s">
        <v>205</v>
      </c>
      <c r="G25" s="42">
        <v>2.0</v>
      </c>
      <c r="H25" s="42" t="b">
        <v>0</v>
      </c>
    </row>
    <row r="26">
      <c r="A26" s="42" t="s">
        <v>1419</v>
      </c>
      <c r="B26" s="42" t="s">
        <v>1420</v>
      </c>
      <c r="C26" s="42" t="s">
        <v>154</v>
      </c>
      <c r="D26" s="42" t="s">
        <v>211</v>
      </c>
      <c r="E26" s="42" t="s">
        <v>187</v>
      </c>
      <c r="F26" s="42" t="s">
        <v>521</v>
      </c>
      <c r="G26" s="42">
        <v>2.0</v>
      </c>
      <c r="H26" s="42" t="b">
        <v>0</v>
      </c>
    </row>
    <row r="27">
      <c r="A27" s="42" t="s">
        <v>1421</v>
      </c>
      <c r="B27" s="42" t="s">
        <v>1422</v>
      </c>
      <c r="C27" s="42" t="s">
        <v>154</v>
      </c>
      <c r="D27" s="42" t="s">
        <v>211</v>
      </c>
      <c r="E27" s="42" t="s">
        <v>180</v>
      </c>
      <c r="F27" s="42" t="s">
        <v>217</v>
      </c>
      <c r="G27" s="42">
        <v>2.0</v>
      </c>
      <c r="H27" s="42" t="b">
        <v>1</v>
      </c>
    </row>
    <row r="28">
      <c r="A28" s="42" t="s">
        <v>1423</v>
      </c>
      <c r="B28" s="42" t="s">
        <v>1424</v>
      </c>
      <c r="C28" s="42" t="s">
        <v>154</v>
      </c>
      <c r="D28" s="42" t="s">
        <v>155</v>
      </c>
      <c r="E28" s="42" t="s">
        <v>156</v>
      </c>
      <c r="F28" s="42" t="s">
        <v>227</v>
      </c>
      <c r="G28" s="42">
        <v>2.0</v>
      </c>
      <c r="H28" s="42" t="b">
        <v>1</v>
      </c>
    </row>
    <row r="29">
      <c r="A29" s="42" t="s">
        <v>1425</v>
      </c>
      <c r="B29" s="42" t="s">
        <v>1426</v>
      </c>
      <c r="C29" s="42" t="s">
        <v>154</v>
      </c>
      <c r="D29" s="42" t="s">
        <v>155</v>
      </c>
      <c r="E29" s="42" t="s">
        <v>237</v>
      </c>
      <c r="F29" s="42" t="s">
        <v>522</v>
      </c>
      <c r="G29" s="42">
        <v>2.0</v>
      </c>
      <c r="H29" s="42" t="b">
        <v>0</v>
      </c>
    </row>
    <row r="30">
      <c r="A30" s="42" t="s">
        <v>1427</v>
      </c>
      <c r="B30" s="42" t="s">
        <v>1428</v>
      </c>
      <c r="C30" s="42" t="s">
        <v>154</v>
      </c>
      <c r="D30" s="42" t="s">
        <v>166</v>
      </c>
      <c r="E30" s="42" t="s">
        <v>156</v>
      </c>
      <c r="F30" s="42" t="s">
        <v>217</v>
      </c>
      <c r="G30" s="42">
        <v>2.0</v>
      </c>
      <c r="H30" s="42" t="b">
        <v>0</v>
      </c>
    </row>
    <row r="31">
      <c r="A31" s="42" t="s">
        <v>1429</v>
      </c>
      <c r="B31" s="42" t="s">
        <v>1430</v>
      </c>
      <c r="C31" s="42" t="s">
        <v>154</v>
      </c>
      <c r="D31" s="42" t="s">
        <v>166</v>
      </c>
      <c r="E31" s="42" t="s">
        <v>187</v>
      </c>
      <c r="F31" s="42" t="s">
        <v>205</v>
      </c>
      <c r="G31" s="42">
        <v>2.0</v>
      </c>
      <c r="H31" s="42" t="b">
        <v>0</v>
      </c>
    </row>
    <row r="32">
      <c r="A32" s="42" t="s">
        <v>1431</v>
      </c>
      <c r="B32" s="42" t="s">
        <v>1432</v>
      </c>
      <c r="C32" s="42" t="s">
        <v>154</v>
      </c>
      <c r="D32" s="42" t="s">
        <v>193</v>
      </c>
      <c r="E32" s="42" t="s">
        <v>156</v>
      </c>
      <c r="F32" s="42" t="s">
        <v>522</v>
      </c>
      <c r="G32" s="42">
        <v>2.0</v>
      </c>
      <c r="H32" s="42" t="b">
        <v>1</v>
      </c>
    </row>
    <row r="33">
      <c r="A33" s="42" t="s">
        <v>1433</v>
      </c>
      <c r="B33" s="42" t="s">
        <v>1434</v>
      </c>
      <c r="C33" s="42" t="s">
        <v>154</v>
      </c>
      <c r="D33" s="42" t="s">
        <v>193</v>
      </c>
      <c r="E33" s="42" t="s">
        <v>237</v>
      </c>
      <c r="F33" s="42" t="s">
        <v>194</v>
      </c>
      <c r="G33" s="42">
        <v>2.0</v>
      </c>
      <c r="H33" s="42" t="b">
        <v>0</v>
      </c>
    </row>
    <row r="34">
      <c r="A34" s="42" t="s">
        <v>1435</v>
      </c>
      <c r="B34" s="42" t="s">
        <v>1436</v>
      </c>
      <c r="C34" s="42" t="s">
        <v>154</v>
      </c>
      <c r="D34" s="42" t="s">
        <v>211</v>
      </c>
      <c r="E34" s="42" t="s">
        <v>237</v>
      </c>
      <c r="F34" s="42" t="s">
        <v>521</v>
      </c>
      <c r="G34" s="42">
        <v>3.0</v>
      </c>
      <c r="H34" s="42" t="b">
        <v>0</v>
      </c>
    </row>
    <row r="35">
      <c r="A35" s="114" t="s">
        <v>1437</v>
      </c>
      <c r="B35" s="114" t="s">
        <v>1438</v>
      </c>
      <c r="C35" s="115" t="s">
        <v>154</v>
      </c>
      <c r="D35" s="114" t="s">
        <v>211</v>
      </c>
      <c r="E35" s="114" t="s">
        <v>156</v>
      </c>
      <c r="F35" s="114" t="s">
        <v>217</v>
      </c>
      <c r="G35" s="116">
        <v>3.0</v>
      </c>
      <c r="H35" s="117" t="b">
        <v>0</v>
      </c>
    </row>
    <row r="36">
      <c r="A36" s="42" t="s">
        <v>1439</v>
      </c>
      <c r="B36" s="42" t="s">
        <v>1440</v>
      </c>
      <c r="C36" s="115" t="s">
        <v>154</v>
      </c>
      <c r="D36" s="114" t="s">
        <v>155</v>
      </c>
      <c r="E36" s="114" t="s">
        <v>156</v>
      </c>
      <c r="F36" s="114" t="s">
        <v>522</v>
      </c>
      <c r="G36" s="116">
        <v>3.0</v>
      </c>
      <c r="H36" s="117" t="b">
        <v>0</v>
      </c>
    </row>
    <row r="37">
      <c r="A37" s="42" t="s">
        <v>1441</v>
      </c>
      <c r="B37" s="42" t="s">
        <v>1442</v>
      </c>
      <c r="C37" s="115" t="s">
        <v>154</v>
      </c>
      <c r="D37" s="114" t="s">
        <v>155</v>
      </c>
      <c r="E37" s="114" t="s">
        <v>187</v>
      </c>
      <c r="F37" s="114" t="s">
        <v>205</v>
      </c>
      <c r="G37" s="116">
        <v>3.0</v>
      </c>
      <c r="H37" s="117" t="b">
        <v>0</v>
      </c>
    </row>
    <row r="38">
      <c r="A38" s="42" t="s">
        <v>1443</v>
      </c>
      <c r="B38" s="42" t="s">
        <v>1444</v>
      </c>
      <c r="C38" s="115" t="s">
        <v>154</v>
      </c>
      <c r="D38" s="114" t="s">
        <v>166</v>
      </c>
      <c r="E38" s="114" t="s">
        <v>156</v>
      </c>
      <c r="F38" s="114" t="s">
        <v>205</v>
      </c>
      <c r="G38" s="116">
        <v>3.0</v>
      </c>
      <c r="H38" s="117" t="b">
        <v>0</v>
      </c>
    </row>
    <row r="39">
      <c r="A39" s="42" t="s">
        <v>1445</v>
      </c>
      <c r="B39" s="42" t="s">
        <v>1446</v>
      </c>
      <c r="C39" s="115" t="s">
        <v>154</v>
      </c>
      <c r="D39" s="114" t="s">
        <v>166</v>
      </c>
      <c r="E39" s="114" t="s">
        <v>237</v>
      </c>
      <c r="F39" s="114" t="s">
        <v>522</v>
      </c>
      <c r="G39" s="116">
        <v>3.0</v>
      </c>
      <c r="H39" s="117" t="b">
        <v>0</v>
      </c>
    </row>
    <row r="40">
      <c r="A40" s="42" t="s">
        <v>1447</v>
      </c>
      <c r="B40" s="42" t="s">
        <v>1448</v>
      </c>
      <c r="C40" s="114" t="s">
        <v>278</v>
      </c>
      <c r="D40" s="114" t="s">
        <v>166</v>
      </c>
      <c r="E40" s="114" t="s">
        <v>1374</v>
      </c>
      <c r="F40" s="114" t="s">
        <v>522</v>
      </c>
      <c r="G40" s="116">
        <v>1.0</v>
      </c>
      <c r="H40" s="117" t="b">
        <v>0</v>
      </c>
    </row>
    <row r="41">
      <c r="A41" s="42" t="s">
        <v>1449</v>
      </c>
      <c r="B41" s="42" t="s">
        <v>1450</v>
      </c>
      <c r="C41" s="114" t="s">
        <v>278</v>
      </c>
      <c r="D41" s="114" t="s">
        <v>523</v>
      </c>
      <c r="E41" s="114" t="s">
        <v>1374</v>
      </c>
      <c r="F41" s="114" t="s">
        <v>194</v>
      </c>
      <c r="G41" s="116">
        <v>1.0</v>
      </c>
      <c r="H41" s="117" t="b">
        <v>0</v>
      </c>
    </row>
    <row r="42">
      <c r="A42" s="42" t="s">
        <v>1451</v>
      </c>
      <c r="B42" s="42" t="s">
        <v>1452</v>
      </c>
      <c r="C42" s="114" t="s">
        <v>154</v>
      </c>
      <c r="D42" s="114" t="s">
        <v>193</v>
      </c>
      <c r="E42" s="114" t="s">
        <v>156</v>
      </c>
      <c r="F42" s="114" t="s">
        <v>227</v>
      </c>
      <c r="G42" s="116">
        <v>3.0</v>
      </c>
      <c r="H42" s="118" t="b">
        <v>0</v>
      </c>
    </row>
    <row r="43">
      <c r="A43" s="42" t="s">
        <v>1453</v>
      </c>
      <c r="B43" s="42" t="s">
        <v>1454</v>
      </c>
      <c r="C43" s="114" t="s">
        <v>154</v>
      </c>
      <c r="D43" s="114" t="s">
        <v>193</v>
      </c>
      <c r="E43" s="114" t="s">
        <v>187</v>
      </c>
      <c r="F43" s="114" t="s">
        <v>194</v>
      </c>
      <c r="G43" s="116">
        <v>3.0</v>
      </c>
      <c r="H43" s="117" t="b">
        <v>0</v>
      </c>
    </row>
    <row r="44">
      <c r="A44" s="30" t="s">
        <v>1455</v>
      </c>
      <c r="B44" s="30" t="s">
        <v>1456</v>
      </c>
      <c r="C44" s="114" t="s">
        <v>154</v>
      </c>
      <c r="D44" s="119" t="s">
        <v>523</v>
      </c>
      <c r="E44" s="114" t="s">
        <v>156</v>
      </c>
      <c r="F44" s="119" t="s">
        <v>194</v>
      </c>
      <c r="G44" s="120">
        <v>2.0</v>
      </c>
      <c r="H44" s="118" t="b">
        <v>0</v>
      </c>
    </row>
    <row r="45">
      <c r="A45" s="119" t="s">
        <v>1457</v>
      </c>
      <c r="B45" s="119" t="s">
        <v>1458</v>
      </c>
      <c r="C45" s="121" t="s">
        <v>154</v>
      </c>
      <c r="D45" s="119" t="s">
        <v>211</v>
      </c>
      <c r="E45" s="121" t="s">
        <v>156</v>
      </c>
      <c r="F45" s="119" t="s">
        <v>522</v>
      </c>
      <c r="G45" s="120">
        <v>4.0</v>
      </c>
      <c r="H45" s="117" t="b">
        <v>0</v>
      </c>
    </row>
    <row r="46">
      <c r="A46" s="119" t="s">
        <v>1459</v>
      </c>
      <c r="B46" s="119" t="s">
        <v>1460</v>
      </c>
      <c r="C46" s="115" t="s">
        <v>154</v>
      </c>
      <c r="D46" s="119" t="s">
        <v>211</v>
      </c>
      <c r="E46" s="115" t="s">
        <v>187</v>
      </c>
      <c r="F46" s="119" t="s">
        <v>227</v>
      </c>
      <c r="G46" s="120">
        <v>4.0</v>
      </c>
      <c r="H46" s="117" t="b">
        <v>0</v>
      </c>
    </row>
    <row r="47">
      <c r="A47" s="119" t="s">
        <v>1461</v>
      </c>
      <c r="B47" s="119" t="s">
        <v>1462</v>
      </c>
      <c r="C47" s="115" t="s">
        <v>154</v>
      </c>
      <c r="D47" s="119" t="s">
        <v>523</v>
      </c>
      <c r="E47" s="114" t="s">
        <v>156</v>
      </c>
      <c r="F47" s="119" t="s">
        <v>522</v>
      </c>
      <c r="G47" s="120">
        <v>2.0</v>
      </c>
      <c r="H47" s="118" t="b">
        <v>1</v>
      </c>
    </row>
    <row r="48">
      <c r="A48" s="42" t="s">
        <v>1463</v>
      </c>
      <c r="B48" s="42" t="s">
        <v>1464</v>
      </c>
      <c r="C48" s="115" t="s">
        <v>154</v>
      </c>
      <c r="D48" s="119" t="s">
        <v>155</v>
      </c>
      <c r="E48" s="114" t="s">
        <v>156</v>
      </c>
      <c r="F48" s="119" t="s">
        <v>217</v>
      </c>
      <c r="G48" s="120">
        <v>4.0</v>
      </c>
      <c r="H48" s="118" t="b">
        <v>0</v>
      </c>
    </row>
    <row r="49">
      <c r="A49" s="42" t="s">
        <v>1465</v>
      </c>
      <c r="B49" s="42" t="s">
        <v>1466</v>
      </c>
      <c r="C49" s="115" t="s">
        <v>154</v>
      </c>
      <c r="D49" s="119" t="s">
        <v>155</v>
      </c>
      <c r="E49" s="114" t="s">
        <v>237</v>
      </c>
      <c r="F49" s="119" t="s">
        <v>522</v>
      </c>
      <c r="G49" s="120">
        <v>4.0</v>
      </c>
      <c r="H49" s="118" t="b">
        <v>0</v>
      </c>
    </row>
    <row r="50">
      <c r="A50" s="42" t="s">
        <v>1467</v>
      </c>
      <c r="B50" s="30" t="s">
        <v>1468</v>
      </c>
      <c r="C50" s="114" t="s">
        <v>278</v>
      </c>
      <c r="D50" s="114" t="s">
        <v>155</v>
      </c>
      <c r="E50" s="114" t="s">
        <v>156</v>
      </c>
      <c r="F50" s="114" t="s">
        <v>217</v>
      </c>
      <c r="G50" s="116">
        <v>1.0</v>
      </c>
      <c r="H50" s="117" t="b">
        <v>0</v>
      </c>
    </row>
    <row r="51">
      <c r="A51" s="30" t="s">
        <v>1469</v>
      </c>
      <c r="B51" s="30" t="s">
        <v>1470</v>
      </c>
      <c r="C51" s="115" t="s">
        <v>154</v>
      </c>
      <c r="D51" s="119" t="s">
        <v>166</v>
      </c>
      <c r="E51" s="119" t="s">
        <v>156</v>
      </c>
      <c r="F51" s="119" t="s">
        <v>194</v>
      </c>
      <c r="G51" s="120">
        <v>4.0</v>
      </c>
      <c r="H51" s="118" t="b">
        <v>0</v>
      </c>
    </row>
    <row r="52">
      <c r="A52" s="30" t="s">
        <v>1471</v>
      </c>
      <c r="B52" s="30" t="s">
        <v>1472</v>
      </c>
      <c r="C52" s="119" t="s">
        <v>154</v>
      </c>
      <c r="D52" s="119" t="s">
        <v>166</v>
      </c>
      <c r="E52" s="119" t="s">
        <v>187</v>
      </c>
      <c r="F52" s="119" t="s">
        <v>205</v>
      </c>
      <c r="G52" s="120">
        <v>4.0</v>
      </c>
      <c r="H52" s="117" t="b">
        <v>0</v>
      </c>
    </row>
  </sheetData>
  <dataValidations>
    <dataValidation type="list" allowBlank="1" showErrorMessage="1" sqref="F2:F52">
      <formula1>"Tank,Precision,Mobility,Control,Skills,Support"</formula1>
    </dataValidation>
    <dataValidation type="list" allowBlank="1" showErrorMessage="1" sqref="G2:G52">
      <formula1>"1,2,3,4"</formula1>
    </dataValidation>
    <dataValidation type="list" allowBlank="1" showErrorMessage="1" sqref="D2:D52">
      <formula1>"Overall,Magic,Marksman,Infantry,Cavalry"</formula1>
    </dataValidation>
    <dataValidation type="list" allowBlank="1" showErrorMessage="1" sqref="H2:H52">
      <formula1>"true,false"</formula1>
    </dataValidation>
    <dataValidation type="list" allowBlank="1" showErrorMessage="1" sqref="C2:C52">
      <formula1>"rare,epic,legendary"</formula1>
    </dataValidation>
    <dataValidation type="list" allowBlank="1" showErrorMessage="1" sqref="E2:E52">
      <formula1>"Engineering,PvP,Rally,Garrison,Gather,Peacekeeping"</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4" max="4" width="102.63"/>
    <col customWidth="1" min="5" max="5" width="46.0"/>
    <col customWidth="1" min="6" max="6" width="22.63"/>
  </cols>
  <sheetData>
    <row r="1">
      <c r="A1" s="122" t="s">
        <v>1473</v>
      </c>
      <c r="B1" s="122" t="s">
        <v>86</v>
      </c>
      <c r="C1" s="122" t="s">
        <v>146</v>
      </c>
      <c r="D1" s="123" t="s">
        <v>526</v>
      </c>
      <c r="E1" s="123" t="s">
        <v>1474</v>
      </c>
      <c r="F1" s="122" t="s">
        <v>1475</v>
      </c>
      <c r="G1" s="122" t="s">
        <v>1476</v>
      </c>
    </row>
    <row r="2">
      <c r="A2" s="124" t="s">
        <v>1370</v>
      </c>
      <c r="B2" s="124" t="s">
        <v>1477</v>
      </c>
      <c r="C2" s="124">
        <v>1000.0</v>
      </c>
      <c r="D2" s="125" t="s">
        <v>1478</v>
      </c>
      <c r="E2" s="125" t="s">
        <v>1479</v>
      </c>
      <c r="F2" s="126"/>
    </row>
    <row r="3">
      <c r="A3" s="124" t="s">
        <v>1370</v>
      </c>
      <c r="B3" s="124" t="s">
        <v>1480</v>
      </c>
      <c r="C3" s="126"/>
      <c r="D3" s="112" t="s">
        <v>1481</v>
      </c>
      <c r="E3" s="125" t="s">
        <v>1482</v>
      </c>
      <c r="F3" s="30"/>
      <c r="G3" s="30" t="b">
        <v>1</v>
      </c>
    </row>
    <row r="4">
      <c r="A4" s="124" t="s">
        <v>1370</v>
      </c>
      <c r="B4" s="124" t="s">
        <v>1483</v>
      </c>
      <c r="C4" s="126"/>
      <c r="D4" s="112" t="s">
        <v>1484</v>
      </c>
      <c r="E4" s="125" t="s">
        <v>1485</v>
      </c>
      <c r="F4" s="30"/>
      <c r="G4" s="30" t="b">
        <v>1</v>
      </c>
    </row>
    <row r="5">
      <c r="A5" s="124" t="s">
        <v>1370</v>
      </c>
      <c r="B5" s="124" t="s">
        <v>1486</v>
      </c>
      <c r="C5" s="126"/>
      <c r="D5" s="125" t="s">
        <v>1487</v>
      </c>
      <c r="E5" s="125" t="s">
        <v>1488</v>
      </c>
      <c r="F5" s="126"/>
    </row>
    <row r="6">
      <c r="A6" s="124" t="s">
        <v>1431</v>
      </c>
      <c r="B6" s="124" t="s">
        <v>1489</v>
      </c>
      <c r="C6" s="124">
        <v>1000.0</v>
      </c>
      <c r="D6" s="125" t="s">
        <v>1490</v>
      </c>
      <c r="E6" s="125" t="s">
        <v>1491</v>
      </c>
      <c r="F6" s="126"/>
    </row>
    <row r="7">
      <c r="A7" s="124" t="s">
        <v>1431</v>
      </c>
      <c r="B7" s="124" t="s">
        <v>1492</v>
      </c>
      <c r="C7" s="126"/>
      <c r="D7" s="125" t="s">
        <v>1493</v>
      </c>
      <c r="E7" s="125" t="s">
        <v>1494</v>
      </c>
      <c r="F7" s="126"/>
    </row>
    <row r="8">
      <c r="A8" s="124" t="s">
        <v>1431</v>
      </c>
      <c r="B8" s="124" t="s">
        <v>1495</v>
      </c>
      <c r="C8" s="126"/>
      <c r="D8" s="125" t="s">
        <v>1496</v>
      </c>
      <c r="E8" s="125" t="s">
        <v>1497</v>
      </c>
      <c r="F8" s="126"/>
    </row>
    <row r="9">
      <c r="A9" s="124" t="s">
        <v>1431</v>
      </c>
      <c r="B9" s="124" t="s">
        <v>1498</v>
      </c>
      <c r="C9" s="126"/>
      <c r="D9" s="125" t="s">
        <v>1499</v>
      </c>
      <c r="E9" s="125" t="s">
        <v>1500</v>
      </c>
      <c r="F9" s="126"/>
    </row>
    <row r="10">
      <c r="A10" s="124" t="s">
        <v>1431</v>
      </c>
      <c r="B10" s="124" t="s">
        <v>1501</v>
      </c>
      <c r="C10" s="126"/>
      <c r="D10" s="125" t="s">
        <v>1502</v>
      </c>
      <c r="E10" s="127"/>
      <c r="F10" s="124" t="s">
        <v>1489</v>
      </c>
    </row>
    <row r="11">
      <c r="A11" s="124" t="s">
        <v>1433</v>
      </c>
      <c r="B11" s="124" t="s">
        <v>1503</v>
      </c>
      <c r="C11" s="126"/>
      <c r="D11" s="125" t="s">
        <v>1504</v>
      </c>
      <c r="E11" s="125" t="s">
        <v>1505</v>
      </c>
      <c r="F11" s="126"/>
    </row>
    <row r="12">
      <c r="A12" s="124" t="s">
        <v>1433</v>
      </c>
      <c r="B12" s="124" t="s">
        <v>1506</v>
      </c>
      <c r="C12" s="126"/>
      <c r="D12" s="125" t="s">
        <v>1507</v>
      </c>
      <c r="E12" s="125" t="s">
        <v>1508</v>
      </c>
      <c r="F12" s="126"/>
    </row>
    <row r="13">
      <c r="A13" s="124" t="s">
        <v>1433</v>
      </c>
      <c r="B13" s="124" t="s">
        <v>1509</v>
      </c>
      <c r="C13" s="126"/>
      <c r="D13" s="125" t="s">
        <v>1510</v>
      </c>
      <c r="E13" s="125" t="s">
        <v>1511</v>
      </c>
      <c r="F13" s="126"/>
    </row>
    <row r="14">
      <c r="A14" s="124" t="s">
        <v>1433</v>
      </c>
      <c r="B14" s="124" t="s">
        <v>1512</v>
      </c>
      <c r="C14" s="126"/>
      <c r="D14" s="125" t="s">
        <v>1513</v>
      </c>
      <c r="E14" s="125" t="s">
        <v>1514</v>
      </c>
      <c r="F14" s="126"/>
    </row>
    <row r="15">
      <c r="A15" s="124" t="s">
        <v>1433</v>
      </c>
      <c r="B15" s="124" t="s">
        <v>1515</v>
      </c>
      <c r="C15" s="126"/>
      <c r="D15" s="125" t="s">
        <v>1516</v>
      </c>
      <c r="E15" s="127"/>
      <c r="F15" s="126"/>
    </row>
    <row r="16">
      <c r="A16" s="124" t="s">
        <v>1419</v>
      </c>
      <c r="B16" s="124" t="s">
        <v>1420</v>
      </c>
      <c r="C16" s="124">
        <v>1000.0</v>
      </c>
      <c r="D16" s="125" t="s">
        <v>1517</v>
      </c>
      <c r="E16" s="125" t="s">
        <v>1518</v>
      </c>
      <c r="F16" s="126"/>
    </row>
    <row r="17">
      <c r="A17" s="124" t="s">
        <v>1419</v>
      </c>
      <c r="B17" s="124" t="s">
        <v>1519</v>
      </c>
      <c r="C17" s="126"/>
      <c r="D17" s="125" t="s">
        <v>1520</v>
      </c>
      <c r="E17" s="125" t="s">
        <v>1521</v>
      </c>
      <c r="F17" s="126"/>
    </row>
    <row r="18">
      <c r="A18" s="124" t="s">
        <v>1419</v>
      </c>
      <c r="B18" s="124" t="s">
        <v>1522</v>
      </c>
      <c r="C18" s="126"/>
      <c r="D18" s="125" t="s">
        <v>1523</v>
      </c>
      <c r="E18" s="125" t="s">
        <v>1524</v>
      </c>
      <c r="F18" s="126"/>
    </row>
    <row r="19">
      <c r="A19" s="124" t="s">
        <v>1419</v>
      </c>
      <c r="B19" s="124" t="s">
        <v>1525</v>
      </c>
      <c r="C19" s="126"/>
      <c r="D19" s="125" t="s">
        <v>1526</v>
      </c>
      <c r="E19" s="125" t="s">
        <v>1527</v>
      </c>
      <c r="F19" s="126"/>
    </row>
    <row r="20">
      <c r="A20" s="124" t="s">
        <v>1419</v>
      </c>
      <c r="B20" s="124" t="s">
        <v>1528</v>
      </c>
      <c r="C20" s="126"/>
      <c r="D20" s="125" t="s">
        <v>1529</v>
      </c>
      <c r="E20" s="127"/>
      <c r="F20" s="126"/>
    </row>
    <row r="21">
      <c r="A21" s="124" t="s">
        <v>1427</v>
      </c>
      <c r="B21" s="124" t="s">
        <v>1530</v>
      </c>
      <c r="C21" s="124">
        <v>1000.0</v>
      </c>
      <c r="D21" s="125" t="s">
        <v>1531</v>
      </c>
      <c r="E21" s="125" t="s">
        <v>1532</v>
      </c>
      <c r="F21" s="126"/>
    </row>
    <row r="22">
      <c r="A22" s="124" t="s">
        <v>1427</v>
      </c>
      <c r="B22" s="124" t="s">
        <v>1533</v>
      </c>
      <c r="C22" s="126"/>
      <c r="D22" s="125" t="s">
        <v>1534</v>
      </c>
      <c r="E22" s="125" t="s">
        <v>1535</v>
      </c>
      <c r="F22" s="126"/>
    </row>
    <row r="23">
      <c r="A23" s="124" t="s">
        <v>1427</v>
      </c>
      <c r="B23" s="124" t="s">
        <v>1536</v>
      </c>
      <c r="C23" s="126"/>
      <c r="D23" s="125" t="s">
        <v>1537</v>
      </c>
      <c r="E23" s="125" t="s">
        <v>1538</v>
      </c>
      <c r="F23" s="126"/>
    </row>
    <row r="24">
      <c r="A24" s="124" t="s">
        <v>1427</v>
      </c>
      <c r="B24" s="124" t="s">
        <v>1539</v>
      </c>
      <c r="C24" s="126"/>
      <c r="D24" s="125" t="s">
        <v>1540</v>
      </c>
      <c r="E24" s="125" t="s">
        <v>1541</v>
      </c>
      <c r="F24" s="126"/>
    </row>
    <row r="25">
      <c r="A25" s="124" t="s">
        <v>1427</v>
      </c>
      <c r="B25" s="124" t="s">
        <v>1542</v>
      </c>
      <c r="C25" s="126"/>
      <c r="D25" s="125" t="s">
        <v>1543</v>
      </c>
      <c r="E25" s="127"/>
      <c r="F25" s="126"/>
    </row>
    <row r="26">
      <c r="A26" s="124" t="s">
        <v>1429</v>
      </c>
      <c r="B26" s="124" t="s">
        <v>1544</v>
      </c>
      <c r="C26" s="124">
        <v>1000.0</v>
      </c>
      <c r="D26" s="125" t="s">
        <v>1545</v>
      </c>
      <c r="E26" s="125" t="s">
        <v>1546</v>
      </c>
      <c r="F26" s="126"/>
    </row>
    <row r="27">
      <c r="A27" s="124" t="s">
        <v>1429</v>
      </c>
      <c r="B27" s="124" t="s">
        <v>1547</v>
      </c>
      <c r="C27" s="126"/>
      <c r="D27" s="125" t="s">
        <v>1548</v>
      </c>
      <c r="E27" s="125" t="s">
        <v>1549</v>
      </c>
      <c r="F27" s="126"/>
    </row>
    <row r="28">
      <c r="A28" s="124" t="s">
        <v>1429</v>
      </c>
      <c r="B28" s="124" t="s">
        <v>1550</v>
      </c>
      <c r="C28" s="126"/>
      <c r="D28" s="125" t="s">
        <v>1551</v>
      </c>
      <c r="E28" s="125" t="s">
        <v>1552</v>
      </c>
      <c r="F28" s="126"/>
    </row>
    <row r="29">
      <c r="A29" s="124" t="s">
        <v>1429</v>
      </c>
      <c r="B29" s="124" t="s">
        <v>1553</v>
      </c>
      <c r="C29" s="126"/>
      <c r="D29" s="125" t="s">
        <v>1554</v>
      </c>
      <c r="E29" s="125" t="s">
        <v>1555</v>
      </c>
      <c r="F29" s="126"/>
    </row>
    <row r="30">
      <c r="A30" s="124" t="s">
        <v>1429</v>
      </c>
      <c r="B30" s="124" t="s">
        <v>1556</v>
      </c>
      <c r="C30" s="126"/>
      <c r="D30" s="125" t="s">
        <v>1557</v>
      </c>
      <c r="E30" s="127"/>
      <c r="F30" s="124" t="s">
        <v>1544</v>
      </c>
    </row>
    <row r="31">
      <c r="A31" s="42" t="s">
        <v>1393</v>
      </c>
      <c r="B31" s="42" t="s">
        <v>1558</v>
      </c>
      <c r="C31" s="42">
        <v>1000.0</v>
      </c>
      <c r="D31" s="108" t="s">
        <v>1559</v>
      </c>
      <c r="E31" s="111" t="s">
        <v>1560</v>
      </c>
    </row>
    <row r="32">
      <c r="A32" s="42" t="s">
        <v>1393</v>
      </c>
      <c r="B32" s="42" t="s">
        <v>1561</v>
      </c>
      <c r="D32" s="112" t="s">
        <v>1562</v>
      </c>
      <c r="E32" s="108" t="s">
        <v>1563</v>
      </c>
      <c r="F32" s="30"/>
      <c r="G32" s="30" t="b">
        <v>1</v>
      </c>
    </row>
    <row r="33">
      <c r="A33" s="42" t="s">
        <v>1393</v>
      </c>
      <c r="B33" s="42" t="s">
        <v>1564</v>
      </c>
      <c r="D33" s="108" t="s">
        <v>1565</v>
      </c>
      <c r="E33" s="108" t="s">
        <v>1566</v>
      </c>
    </row>
    <row r="34">
      <c r="A34" s="42" t="s">
        <v>1393</v>
      </c>
      <c r="B34" s="42" t="s">
        <v>1567</v>
      </c>
      <c r="D34" s="108" t="s">
        <v>1568</v>
      </c>
      <c r="E34" s="108" t="s">
        <v>1569</v>
      </c>
    </row>
    <row r="35">
      <c r="A35" s="42" t="s">
        <v>1393</v>
      </c>
      <c r="B35" s="42" t="s">
        <v>1570</v>
      </c>
      <c r="D35" s="108" t="s">
        <v>1571</v>
      </c>
      <c r="E35" s="128"/>
    </row>
    <row r="36">
      <c r="A36" s="42" t="s">
        <v>1395</v>
      </c>
      <c r="B36" s="42" t="s">
        <v>1572</v>
      </c>
      <c r="C36" s="42">
        <v>1000.0</v>
      </c>
      <c r="D36" s="108" t="s">
        <v>1573</v>
      </c>
      <c r="E36" s="108" t="s">
        <v>1574</v>
      </c>
    </row>
    <row r="37">
      <c r="A37" s="42" t="s">
        <v>1395</v>
      </c>
      <c r="B37" s="42" t="s">
        <v>1575</v>
      </c>
      <c r="D37" s="112" t="s">
        <v>1576</v>
      </c>
      <c r="E37" s="108" t="s">
        <v>1577</v>
      </c>
      <c r="F37" s="30"/>
      <c r="G37" s="30" t="b">
        <v>1</v>
      </c>
    </row>
    <row r="38">
      <c r="A38" s="42" t="s">
        <v>1395</v>
      </c>
      <c r="B38" s="42" t="s">
        <v>1578</v>
      </c>
      <c r="D38" s="108" t="s">
        <v>1579</v>
      </c>
      <c r="E38" s="108" t="s">
        <v>1580</v>
      </c>
    </row>
    <row r="39">
      <c r="A39" s="42" t="s">
        <v>1395</v>
      </c>
      <c r="B39" s="42" t="s">
        <v>1581</v>
      </c>
      <c r="D39" s="108" t="s">
        <v>1582</v>
      </c>
      <c r="E39" s="108" t="s">
        <v>1583</v>
      </c>
    </row>
    <row r="40">
      <c r="A40" s="42" t="s">
        <v>1395</v>
      </c>
      <c r="B40" s="42" t="s">
        <v>1584</v>
      </c>
      <c r="D40" s="108" t="s">
        <v>1585</v>
      </c>
      <c r="E40" s="128"/>
      <c r="F40" s="42" t="s">
        <v>1572</v>
      </c>
    </row>
    <row r="41">
      <c r="A41" s="42" t="s">
        <v>1375</v>
      </c>
      <c r="B41" s="42" t="s">
        <v>1586</v>
      </c>
      <c r="C41" s="42">
        <v>1000.0</v>
      </c>
      <c r="D41" s="108" t="s">
        <v>1587</v>
      </c>
      <c r="E41" s="108" t="s">
        <v>1588</v>
      </c>
    </row>
    <row r="42">
      <c r="A42" s="42" t="s">
        <v>1375</v>
      </c>
      <c r="B42" s="42" t="s">
        <v>1589</v>
      </c>
      <c r="D42" s="112" t="s">
        <v>1590</v>
      </c>
      <c r="E42" s="108" t="s">
        <v>1591</v>
      </c>
      <c r="F42" s="30"/>
      <c r="G42" s="30" t="b">
        <v>1</v>
      </c>
    </row>
    <row r="43">
      <c r="A43" s="42" t="s">
        <v>1375</v>
      </c>
      <c r="B43" s="42" t="s">
        <v>1592</v>
      </c>
      <c r="D43" s="112" t="s">
        <v>1593</v>
      </c>
      <c r="E43" s="108" t="s">
        <v>1594</v>
      </c>
      <c r="F43" s="30"/>
      <c r="G43" s="30" t="b">
        <v>1</v>
      </c>
    </row>
    <row r="44">
      <c r="A44" s="42" t="s">
        <v>1375</v>
      </c>
      <c r="B44" s="42" t="s">
        <v>1595</v>
      </c>
      <c r="D44" s="108" t="s">
        <v>1596</v>
      </c>
      <c r="E44" s="108" t="s">
        <v>1597</v>
      </c>
    </row>
    <row r="45">
      <c r="A45" s="42" t="s">
        <v>1372</v>
      </c>
      <c r="B45" s="42" t="s">
        <v>1598</v>
      </c>
      <c r="C45" s="42">
        <v>1000.0</v>
      </c>
      <c r="D45" s="108" t="s">
        <v>1599</v>
      </c>
      <c r="E45" s="108" t="s">
        <v>1600</v>
      </c>
    </row>
    <row r="46">
      <c r="A46" s="42" t="s">
        <v>1372</v>
      </c>
      <c r="B46" s="42" t="s">
        <v>1601</v>
      </c>
      <c r="D46" s="112" t="s">
        <v>1602</v>
      </c>
      <c r="E46" s="108" t="s">
        <v>1603</v>
      </c>
      <c r="F46" s="30"/>
      <c r="G46" s="30" t="b">
        <v>1</v>
      </c>
    </row>
    <row r="47">
      <c r="A47" s="42" t="s">
        <v>1372</v>
      </c>
      <c r="B47" s="42" t="s">
        <v>1604</v>
      </c>
      <c r="D47" s="108" t="s">
        <v>1605</v>
      </c>
      <c r="E47" s="108" t="s">
        <v>1606</v>
      </c>
    </row>
    <row r="48">
      <c r="A48" s="42" t="s">
        <v>1372</v>
      </c>
      <c r="B48" s="42" t="s">
        <v>1607</v>
      </c>
      <c r="D48" s="108" t="s">
        <v>1608</v>
      </c>
      <c r="E48" s="108" t="s">
        <v>1609</v>
      </c>
    </row>
    <row r="49">
      <c r="A49" s="42" t="s">
        <v>1387</v>
      </c>
      <c r="B49" s="42" t="s">
        <v>1610</v>
      </c>
      <c r="C49" s="42">
        <v>1000.0</v>
      </c>
      <c r="D49" s="108" t="s">
        <v>1611</v>
      </c>
      <c r="E49" s="108" t="s">
        <v>1612</v>
      </c>
    </row>
    <row r="50">
      <c r="A50" s="42" t="s">
        <v>1387</v>
      </c>
      <c r="B50" s="42" t="s">
        <v>1613</v>
      </c>
      <c r="D50" s="108" t="s">
        <v>1614</v>
      </c>
      <c r="E50" s="108" t="s">
        <v>1615</v>
      </c>
    </row>
    <row r="51">
      <c r="A51" s="42" t="s">
        <v>1387</v>
      </c>
      <c r="B51" s="42" t="s">
        <v>1616</v>
      </c>
      <c r="D51" s="108" t="s">
        <v>1617</v>
      </c>
      <c r="E51" s="108" t="s">
        <v>1569</v>
      </c>
    </row>
    <row r="52">
      <c r="A52" s="42" t="s">
        <v>1387</v>
      </c>
      <c r="B52" s="42" t="s">
        <v>1618</v>
      </c>
      <c r="D52" s="108" t="s">
        <v>1619</v>
      </c>
      <c r="E52" s="108" t="s">
        <v>1620</v>
      </c>
    </row>
    <row r="53">
      <c r="A53" s="42" t="s">
        <v>1387</v>
      </c>
      <c r="B53" s="42" t="s">
        <v>1621</v>
      </c>
      <c r="D53" s="108" t="s">
        <v>1622</v>
      </c>
      <c r="E53" s="128"/>
    </row>
    <row r="54">
      <c r="A54" s="42" t="s">
        <v>1413</v>
      </c>
      <c r="B54" s="42" t="s">
        <v>1623</v>
      </c>
      <c r="C54" s="42">
        <v>1000.0</v>
      </c>
      <c r="D54" s="108" t="s">
        <v>1624</v>
      </c>
      <c r="E54" s="108" t="s">
        <v>1625</v>
      </c>
    </row>
    <row r="55">
      <c r="A55" s="42" t="s">
        <v>1413</v>
      </c>
      <c r="B55" s="42" t="s">
        <v>1626</v>
      </c>
      <c r="D55" s="112" t="s">
        <v>1627</v>
      </c>
      <c r="E55" s="108" t="s">
        <v>1628</v>
      </c>
      <c r="F55" s="30"/>
      <c r="G55" s="30" t="b">
        <v>1</v>
      </c>
    </row>
    <row r="56">
      <c r="A56" s="42" t="s">
        <v>1413</v>
      </c>
      <c r="B56" s="42" t="s">
        <v>1629</v>
      </c>
      <c r="D56" s="108" t="s">
        <v>1630</v>
      </c>
      <c r="E56" s="108" t="s">
        <v>1631</v>
      </c>
    </row>
    <row r="57">
      <c r="A57" s="42" t="s">
        <v>1413</v>
      </c>
      <c r="B57" s="42" t="s">
        <v>1632</v>
      </c>
      <c r="D57" s="108" t="s">
        <v>1633</v>
      </c>
      <c r="E57" s="108" t="s">
        <v>1634</v>
      </c>
    </row>
    <row r="58">
      <c r="A58" s="42" t="s">
        <v>1413</v>
      </c>
      <c r="B58" s="42" t="s">
        <v>1635</v>
      </c>
      <c r="D58" s="108" t="s">
        <v>1636</v>
      </c>
      <c r="E58" s="128"/>
    </row>
    <row r="59">
      <c r="A59" s="42" t="s">
        <v>1401</v>
      </c>
      <c r="B59" s="42" t="s">
        <v>1637</v>
      </c>
      <c r="C59" s="42">
        <v>1000.0</v>
      </c>
      <c r="D59" s="108" t="s">
        <v>1638</v>
      </c>
      <c r="E59" s="108" t="s">
        <v>1639</v>
      </c>
    </row>
    <row r="60">
      <c r="A60" s="42" t="s">
        <v>1401</v>
      </c>
      <c r="B60" s="42" t="s">
        <v>1640</v>
      </c>
      <c r="D60" s="108" t="s">
        <v>1641</v>
      </c>
      <c r="E60" s="108" t="s">
        <v>1642</v>
      </c>
    </row>
    <row r="61">
      <c r="A61" s="42" t="s">
        <v>1401</v>
      </c>
      <c r="B61" s="42" t="s">
        <v>1643</v>
      </c>
      <c r="D61" s="108" t="s">
        <v>1644</v>
      </c>
      <c r="E61" s="108" t="s">
        <v>1645</v>
      </c>
    </row>
    <row r="62">
      <c r="A62" s="42" t="s">
        <v>1401</v>
      </c>
      <c r="B62" s="42" t="s">
        <v>1646</v>
      </c>
      <c r="D62" s="108" t="s">
        <v>1647</v>
      </c>
      <c r="E62" s="108" t="s">
        <v>1648</v>
      </c>
    </row>
    <row r="63">
      <c r="A63" s="42" t="s">
        <v>1401</v>
      </c>
      <c r="B63" s="42" t="s">
        <v>1649</v>
      </c>
      <c r="D63" s="108" t="s">
        <v>1650</v>
      </c>
      <c r="E63" s="128"/>
      <c r="F63" s="42" t="s">
        <v>1637</v>
      </c>
    </row>
    <row r="64">
      <c r="A64" s="42" t="s">
        <v>1415</v>
      </c>
      <c r="B64" s="42" t="s">
        <v>1651</v>
      </c>
      <c r="C64" s="42">
        <v>1000.0</v>
      </c>
      <c r="D64" s="108" t="s">
        <v>1652</v>
      </c>
      <c r="E64" s="108" t="s">
        <v>1653</v>
      </c>
    </row>
    <row r="65">
      <c r="A65" s="42" t="s">
        <v>1415</v>
      </c>
      <c r="B65" s="42" t="s">
        <v>1654</v>
      </c>
      <c r="D65" s="108" t="s">
        <v>1655</v>
      </c>
      <c r="E65" s="108" t="s">
        <v>1656</v>
      </c>
    </row>
    <row r="66">
      <c r="A66" s="42" t="s">
        <v>1415</v>
      </c>
      <c r="B66" s="42" t="s">
        <v>1657</v>
      </c>
      <c r="D66" s="108" t="s">
        <v>1658</v>
      </c>
      <c r="E66" s="108" t="s">
        <v>1659</v>
      </c>
    </row>
    <row r="67">
      <c r="A67" s="42" t="s">
        <v>1415</v>
      </c>
      <c r="B67" s="42" t="s">
        <v>1660</v>
      </c>
      <c r="D67" s="108" t="s">
        <v>1661</v>
      </c>
      <c r="E67" s="108" t="s">
        <v>1662</v>
      </c>
    </row>
    <row r="68">
      <c r="A68" s="42" t="s">
        <v>1415</v>
      </c>
      <c r="B68" s="42" t="s">
        <v>1663</v>
      </c>
      <c r="D68" s="108" t="s">
        <v>1664</v>
      </c>
      <c r="E68" s="128"/>
    </row>
    <row r="69">
      <c r="A69" s="42" t="s">
        <v>1407</v>
      </c>
      <c r="B69" s="42" t="s">
        <v>1665</v>
      </c>
      <c r="C69" s="42">
        <v>1000.0</v>
      </c>
      <c r="D69" s="108" t="s">
        <v>1666</v>
      </c>
      <c r="E69" s="108" t="s">
        <v>1667</v>
      </c>
    </row>
    <row r="70">
      <c r="A70" s="42" t="s">
        <v>1407</v>
      </c>
      <c r="B70" s="42" t="s">
        <v>1668</v>
      </c>
      <c r="D70" s="108" t="s">
        <v>1669</v>
      </c>
      <c r="E70" s="108" t="s">
        <v>1670</v>
      </c>
    </row>
    <row r="71">
      <c r="A71" s="42" t="s">
        <v>1407</v>
      </c>
      <c r="B71" s="42" t="s">
        <v>1671</v>
      </c>
      <c r="D71" s="108" t="s">
        <v>1672</v>
      </c>
      <c r="E71" s="108" t="s">
        <v>1673</v>
      </c>
    </row>
    <row r="72">
      <c r="A72" s="42" t="s">
        <v>1407</v>
      </c>
      <c r="B72" s="42" t="s">
        <v>1674</v>
      </c>
      <c r="D72" s="108" t="s">
        <v>1675</v>
      </c>
      <c r="E72" s="108" t="s">
        <v>1676</v>
      </c>
    </row>
    <row r="73">
      <c r="A73" s="42" t="s">
        <v>1407</v>
      </c>
      <c r="B73" s="42" t="s">
        <v>1677</v>
      </c>
      <c r="D73" s="108" t="s">
        <v>1678</v>
      </c>
      <c r="E73" s="128"/>
    </row>
    <row r="74">
      <c r="A74" s="42" t="s">
        <v>1417</v>
      </c>
      <c r="B74" s="42" t="s">
        <v>1679</v>
      </c>
      <c r="C74" s="42">
        <v>1000.0</v>
      </c>
      <c r="D74" s="108" t="s">
        <v>1680</v>
      </c>
      <c r="E74" s="108" t="s">
        <v>1681</v>
      </c>
    </row>
    <row r="75">
      <c r="A75" s="42" t="s">
        <v>1417</v>
      </c>
      <c r="B75" s="42" t="s">
        <v>1682</v>
      </c>
      <c r="D75" s="108" t="s">
        <v>1683</v>
      </c>
      <c r="E75" s="108" t="s">
        <v>1684</v>
      </c>
    </row>
    <row r="76">
      <c r="A76" s="42" t="s">
        <v>1417</v>
      </c>
      <c r="B76" s="42" t="s">
        <v>1685</v>
      </c>
      <c r="D76" s="108" t="s">
        <v>1686</v>
      </c>
      <c r="E76" s="108" t="s">
        <v>1687</v>
      </c>
    </row>
    <row r="77">
      <c r="A77" s="42" t="s">
        <v>1417</v>
      </c>
      <c r="B77" s="42" t="s">
        <v>1688</v>
      </c>
      <c r="D77" s="108" t="s">
        <v>1689</v>
      </c>
      <c r="E77" s="108" t="s">
        <v>1690</v>
      </c>
    </row>
    <row r="78">
      <c r="A78" s="42" t="s">
        <v>1417</v>
      </c>
      <c r="B78" s="42" t="s">
        <v>1691</v>
      </c>
      <c r="D78" s="108" t="s">
        <v>1692</v>
      </c>
      <c r="E78" s="128"/>
      <c r="F78" s="42" t="s">
        <v>1688</v>
      </c>
    </row>
    <row r="79">
      <c r="A79" s="42" t="s">
        <v>1389</v>
      </c>
      <c r="B79" s="42" t="s">
        <v>1693</v>
      </c>
      <c r="C79" s="42">
        <v>1000.0</v>
      </c>
      <c r="D79" s="108" t="s">
        <v>1694</v>
      </c>
      <c r="E79" s="108" t="s">
        <v>1695</v>
      </c>
    </row>
    <row r="80">
      <c r="A80" s="42" t="s">
        <v>1389</v>
      </c>
      <c r="B80" s="42" t="s">
        <v>1696</v>
      </c>
      <c r="D80" s="108" t="s">
        <v>1697</v>
      </c>
      <c r="E80" s="108" t="s">
        <v>1698</v>
      </c>
    </row>
    <row r="81">
      <c r="A81" s="42" t="s">
        <v>1389</v>
      </c>
      <c r="B81" s="42" t="s">
        <v>1699</v>
      </c>
      <c r="D81" s="108" t="s">
        <v>1700</v>
      </c>
      <c r="E81" s="108" t="s">
        <v>1701</v>
      </c>
    </row>
    <row r="82">
      <c r="A82" s="42" t="s">
        <v>1389</v>
      </c>
      <c r="B82" s="42" t="s">
        <v>1702</v>
      </c>
      <c r="D82" s="108" t="s">
        <v>1703</v>
      </c>
      <c r="E82" s="108" t="s">
        <v>1704</v>
      </c>
    </row>
    <row r="83">
      <c r="A83" s="42" t="s">
        <v>1389</v>
      </c>
      <c r="B83" s="42" t="s">
        <v>1705</v>
      </c>
      <c r="D83" s="108" t="s">
        <v>1706</v>
      </c>
      <c r="E83" s="128"/>
      <c r="F83" s="42" t="s">
        <v>1693</v>
      </c>
    </row>
    <row r="84">
      <c r="A84" s="42" t="s">
        <v>1391</v>
      </c>
      <c r="B84" s="42" t="s">
        <v>1707</v>
      </c>
      <c r="C84" s="42">
        <v>1000.0</v>
      </c>
      <c r="D84" s="108" t="s">
        <v>1708</v>
      </c>
      <c r="E84" s="108" t="s">
        <v>1709</v>
      </c>
    </row>
    <row r="85">
      <c r="A85" s="42" t="s">
        <v>1391</v>
      </c>
      <c r="B85" s="42" t="s">
        <v>866</v>
      </c>
      <c r="D85" s="108" t="s">
        <v>1710</v>
      </c>
      <c r="E85" s="108" t="s">
        <v>1711</v>
      </c>
    </row>
    <row r="86">
      <c r="A86" s="42" t="s">
        <v>1391</v>
      </c>
      <c r="B86" s="42" t="s">
        <v>1712</v>
      </c>
      <c r="D86" s="108" t="s">
        <v>1713</v>
      </c>
      <c r="E86" s="108" t="s">
        <v>1714</v>
      </c>
    </row>
    <row r="87">
      <c r="A87" s="42" t="s">
        <v>1391</v>
      </c>
      <c r="B87" s="42" t="s">
        <v>1715</v>
      </c>
      <c r="D87" s="108" t="s">
        <v>1716</v>
      </c>
      <c r="E87" s="108" t="s">
        <v>1717</v>
      </c>
    </row>
    <row r="88">
      <c r="A88" s="42" t="s">
        <v>1391</v>
      </c>
      <c r="B88" s="42" t="s">
        <v>1718</v>
      </c>
      <c r="D88" s="108" t="s">
        <v>1719</v>
      </c>
      <c r="E88" s="128"/>
    </row>
    <row r="89">
      <c r="A89" s="42" t="s">
        <v>1385</v>
      </c>
      <c r="B89" s="42" t="s">
        <v>1720</v>
      </c>
      <c r="C89" s="42">
        <v>1000.0</v>
      </c>
      <c r="D89" s="108" t="s">
        <v>1721</v>
      </c>
      <c r="E89" s="108" t="s">
        <v>1722</v>
      </c>
    </row>
    <row r="90">
      <c r="A90" s="42" t="s">
        <v>1385</v>
      </c>
      <c r="B90" s="42" t="s">
        <v>1723</v>
      </c>
      <c r="D90" s="108" t="s">
        <v>1724</v>
      </c>
      <c r="E90" s="108" t="s">
        <v>1725</v>
      </c>
    </row>
    <row r="91">
      <c r="A91" s="42" t="s">
        <v>1385</v>
      </c>
      <c r="B91" s="42" t="s">
        <v>1726</v>
      </c>
      <c r="D91" s="108" t="s">
        <v>1727</v>
      </c>
      <c r="E91" s="108" t="s">
        <v>1728</v>
      </c>
    </row>
    <row r="92">
      <c r="A92" s="42" t="s">
        <v>1385</v>
      </c>
      <c r="B92" s="42" t="s">
        <v>1729</v>
      </c>
      <c r="D92" s="112" t="s">
        <v>1730</v>
      </c>
      <c r="E92" s="108" t="s">
        <v>1731</v>
      </c>
      <c r="F92" s="30"/>
      <c r="G92" s="30" t="b">
        <v>1</v>
      </c>
    </row>
    <row r="93">
      <c r="A93" s="42" t="s">
        <v>1385</v>
      </c>
      <c r="B93" s="42" t="s">
        <v>1732</v>
      </c>
      <c r="D93" s="108" t="s">
        <v>1733</v>
      </c>
      <c r="E93" s="128"/>
      <c r="F93" s="42" t="s">
        <v>1720</v>
      </c>
    </row>
    <row r="94">
      <c r="A94" s="42" t="s">
        <v>1381</v>
      </c>
      <c r="B94" s="42" t="s">
        <v>1734</v>
      </c>
      <c r="C94" s="42">
        <v>1000.0</v>
      </c>
      <c r="D94" s="108" t="s">
        <v>1735</v>
      </c>
      <c r="E94" s="108" t="s">
        <v>1736</v>
      </c>
    </row>
    <row r="95">
      <c r="A95" s="42" t="s">
        <v>1381</v>
      </c>
      <c r="B95" s="42" t="s">
        <v>1737</v>
      </c>
      <c r="D95" s="108" t="s">
        <v>1738</v>
      </c>
      <c r="E95" s="108" t="s">
        <v>1739</v>
      </c>
    </row>
    <row r="96">
      <c r="A96" s="42" t="s">
        <v>1381</v>
      </c>
      <c r="B96" s="42" t="s">
        <v>1740</v>
      </c>
      <c r="D96" s="108" t="s">
        <v>1741</v>
      </c>
      <c r="E96" s="108" t="s">
        <v>1742</v>
      </c>
    </row>
    <row r="97">
      <c r="A97" s="42" t="s">
        <v>1381</v>
      </c>
      <c r="B97" s="42" t="s">
        <v>1743</v>
      </c>
      <c r="D97" s="108" t="s">
        <v>1744</v>
      </c>
      <c r="E97" s="108" t="s">
        <v>1745</v>
      </c>
    </row>
    <row r="98">
      <c r="A98" s="42" t="s">
        <v>1381</v>
      </c>
      <c r="B98" s="42" t="s">
        <v>1746</v>
      </c>
      <c r="D98" s="108" t="s">
        <v>1747</v>
      </c>
      <c r="E98" s="128"/>
      <c r="F98" s="42" t="s">
        <v>1734</v>
      </c>
    </row>
    <row r="99">
      <c r="A99" s="42" t="s">
        <v>1379</v>
      </c>
      <c r="B99" s="42" t="s">
        <v>1748</v>
      </c>
      <c r="C99" s="42">
        <v>1000.0</v>
      </c>
      <c r="D99" s="108" t="s">
        <v>1749</v>
      </c>
      <c r="E99" s="108" t="s">
        <v>1750</v>
      </c>
    </row>
    <row r="100">
      <c r="A100" s="42" t="s">
        <v>1379</v>
      </c>
      <c r="B100" s="42" t="s">
        <v>1751</v>
      </c>
      <c r="D100" s="108" t="s">
        <v>1752</v>
      </c>
      <c r="E100" s="108" t="s">
        <v>1753</v>
      </c>
    </row>
    <row r="101">
      <c r="A101" s="42" t="s">
        <v>1379</v>
      </c>
      <c r="B101" s="42" t="s">
        <v>1754</v>
      </c>
      <c r="D101" s="108" t="s">
        <v>1755</v>
      </c>
      <c r="E101" s="108" t="s">
        <v>1756</v>
      </c>
    </row>
    <row r="102">
      <c r="A102" s="42" t="s">
        <v>1379</v>
      </c>
      <c r="B102" s="42" t="s">
        <v>1757</v>
      </c>
      <c r="D102" s="108" t="s">
        <v>1758</v>
      </c>
      <c r="E102" s="108" t="s">
        <v>1759</v>
      </c>
    </row>
    <row r="103">
      <c r="A103" s="42" t="s">
        <v>1379</v>
      </c>
      <c r="B103" s="42" t="s">
        <v>1760</v>
      </c>
      <c r="D103" s="108" t="s">
        <v>1761</v>
      </c>
      <c r="E103" s="128"/>
    </row>
    <row r="104">
      <c r="A104" s="42" t="s">
        <v>1383</v>
      </c>
      <c r="B104" s="42" t="s">
        <v>1762</v>
      </c>
      <c r="C104" s="42">
        <v>1000.0</v>
      </c>
      <c r="D104" s="108" t="s">
        <v>1763</v>
      </c>
      <c r="E104" s="108" t="s">
        <v>1764</v>
      </c>
    </row>
    <row r="105">
      <c r="A105" s="42" t="s">
        <v>1383</v>
      </c>
      <c r="B105" s="42" t="s">
        <v>1765</v>
      </c>
      <c r="D105" s="108" t="s">
        <v>1766</v>
      </c>
      <c r="E105" s="108" t="s">
        <v>1767</v>
      </c>
      <c r="F105" s="30"/>
      <c r="G105" s="30" t="b">
        <v>1</v>
      </c>
    </row>
    <row r="106">
      <c r="A106" s="42" t="s">
        <v>1383</v>
      </c>
      <c r="B106" s="42" t="s">
        <v>1768</v>
      </c>
      <c r="D106" s="108" t="s">
        <v>1769</v>
      </c>
      <c r="E106" s="108" t="s">
        <v>1770</v>
      </c>
    </row>
    <row r="107">
      <c r="A107" s="42" t="s">
        <v>1383</v>
      </c>
      <c r="B107" s="42" t="s">
        <v>1771</v>
      </c>
      <c r="D107" s="108" t="s">
        <v>1772</v>
      </c>
      <c r="E107" s="108" t="s">
        <v>1773</v>
      </c>
    </row>
    <row r="108">
      <c r="A108" s="42" t="s">
        <v>1383</v>
      </c>
      <c r="B108" s="42" t="s">
        <v>1774</v>
      </c>
      <c r="D108" s="108" t="s">
        <v>1775</v>
      </c>
      <c r="E108" s="128"/>
    </row>
    <row r="109">
      <c r="A109" s="42" t="s">
        <v>1411</v>
      </c>
      <c r="B109" s="42" t="s">
        <v>1776</v>
      </c>
      <c r="C109" s="42">
        <v>1000.0</v>
      </c>
      <c r="D109" s="108" t="s">
        <v>1777</v>
      </c>
      <c r="E109" s="108" t="s">
        <v>1778</v>
      </c>
    </row>
    <row r="110">
      <c r="A110" s="42" t="s">
        <v>1411</v>
      </c>
      <c r="B110" s="42" t="s">
        <v>1779</v>
      </c>
      <c r="D110" s="108" t="s">
        <v>1780</v>
      </c>
      <c r="E110" s="108" t="s">
        <v>1781</v>
      </c>
    </row>
    <row r="111">
      <c r="A111" s="42" t="s">
        <v>1411</v>
      </c>
      <c r="B111" s="42" t="s">
        <v>1782</v>
      </c>
      <c r="D111" s="108" t="s">
        <v>1783</v>
      </c>
      <c r="E111" s="108" t="s">
        <v>1784</v>
      </c>
    </row>
    <row r="112">
      <c r="A112" s="42" t="s">
        <v>1411</v>
      </c>
      <c r="B112" s="42" t="s">
        <v>1785</v>
      </c>
      <c r="D112" s="108" t="s">
        <v>1786</v>
      </c>
      <c r="E112" s="108" t="s">
        <v>1787</v>
      </c>
    </row>
    <row r="113">
      <c r="A113" s="42" t="s">
        <v>1411</v>
      </c>
      <c r="B113" s="42" t="s">
        <v>1788</v>
      </c>
      <c r="D113" s="108" t="s">
        <v>1789</v>
      </c>
      <c r="E113" s="128"/>
    </row>
    <row r="114">
      <c r="A114" s="42" t="s">
        <v>1403</v>
      </c>
      <c r="B114" s="42" t="s">
        <v>1790</v>
      </c>
      <c r="C114" s="42">
        <v>1000.0</v>
      </c>
      <c r="D114" s="108" t="s">
        <v>1791</v>
      </c>
      <c r="E114" s="108" t="s">
        <v>1792</v>
      </c>
    </row>
    <row r="115">
      <c r="A115" s="42" t="s">
        <v>1403</v>
      </c>
      <c r="B115" s="42" t="s">
        <v>1793</v>
      </c>
      <c r="D115" s="108" t="s">
        <v>1794</v>
      </c>
      <c r="E115" s="108" t="s">
        <v>1795</v>
      </c>
    </row>
    <row r="116">
      <c r="A116" s="42" t="s">
        <v>1403</v>
      </c>
      <c r="B116" s="42" t="s">
        <v>1796</v>
      </c>
      <c r="D116" s="108" t="s">
        <v>1797</v>
      </c>
      <c r="E116" s="108" t="s">
        <v>1798</v>
      </c>
    </row>
    <row r="117">
      <c r="A117" s="42" t="s">
        <v>1403</v>
      </c>
      <c r="B117" s="42" t="s">
        <v>1799</v>
      </c>
      <c r="D117" s="108" t="s">
        <v>1800</v>
      </c>
      <c r="E117" s="108" t="s">
        <v>1801</v>
      </c>
    </row>
    <row r="118">
      <c r="A118" s="42" t="s">
        <v>1403</v>
      </c>
      <c r="B118" s="42" t="s">
        <v>1802</v>
      </c>
      <c r="D118" s="108" t="s">
        <v>1803</v>
      </c>
      <c r="E118" s="128"/>
      <c r="F118" s="42" t="s">
        <v>1790</v>
      </c>
    </row>
    <row r="119">
      <c r="A119" s="42" t="s">
        <v>1377</v>
      </c>
      <c r="B119" s="42" t="s">
        <v>1804</v>
      </c>
      <c r="C119" s="42">
        <v>1000.0</v>
      </c>
      <c r="D119" s="108" t="s">
        <v>1805</v>
      </c>
      <c r="E119" s="108" t="s">
        <v>1806</v>
      </c>
    </row>
    <row r="120">
      <c r="A120" s="42" t="s">
        <v>1377</v>
      </c>
      <c r="B120" s="42" t="s">
        <v>1807</v>
      </c>
      <c r="D120" s="112" t="s">
        <v>1808</v>
      </c>
      <c r="E120" s="108" t="s">
        <v>1809</v>
      </c>
      <c r="F120" s="30"/>
      <c r="G120" s="30" t="b">
        <v>1</v>
      </c>
    </row>
    <row r="121">
      <c r="A121" s="42" t="s">
        <v>1377</v>
      </c>
      <c r="B121" s="42" t="s">
        <v>1810</v>
      </c>
      <c r="D121" s="108" t="s">
        <v>1811</v>
      </c>
      <c r="E121" s="108" t="s">
        <v>1812</v>
      </c>
    </row>
    <row r="122">
      <c r="A122" s="42" t="s">
        <v>1377</v>
      </c>
      <c r="B122" s="42" t="s">
        <v>1813</v>
      </c>
      <c r="D122" s="108" t="s">
        <v>1814</v>
      </c>
      <c r="E122" s="108" t="s">
        <v>1815</v>
      </c>
    </row>
    <row r="123">
      <c r="A123" s="42" t="s">
        <v>1377</v>
      </c>
      <c r="B123" s="42" t="s">
        <v>1816</v>
      </c>
      <c r="D123" s="108" t="s">
        <v>1817</v>
      </c>
      <c r="E123" s="128"/>
      <c r="F123" s="42" t="s">
        <v>1804</v>
      </c>
    </row>
    <row r="124">
      <c r="A124" s="42" t="s">
        <v>1405</v>
      </c>
      <c r="B124" s="42" t="s">
        <v>1818</v>
      </c>
      <c r="C124" s="42">
        <v>1000.0</v>
      </c>
      <c r="D124" s="108" t="s">
        <v>1819</v>
      </c>
      <c r="E124" s="108" t="s">
        <v>1820</v>
      </c>
    </row>
    <row r="125">
      <c r="A125" s="42" t="s">
        <v>1405</v>
      </c>
      <c r="B125" s="42" t="s">
        <v>1821</v>
      </c>
      <c r="D125" s="108" t="s">
        <v>1822</v>
      </c>
      <c r="E125" s="108" t="s">
        <v>1823</v>
      </c>
    </row>
    <row r="126">
      <c r="A126" s="42" t="s">
        <v>1405</v>
      </c>
      <c r="B126" s="42" t="s">
        <v>1824</v>
      </c>
      <c r="D126" s="108" t="s">
        <v>1825</v>
      </c>
      <c r="E126" s="108" t="s">
        <v>1826</v>
      </c>
    </row>
    <row r="127">
      <c r="A127" s="42" t="s">
        <v>1405</v>
      </c>
      <c r="B127" s="42" t="s">
        <v>1827</v>
      </c>
      <c r="D127" s="108" t="s">
        <v>1828</v>
      </c>
      <c r="E127" s="108" t="s">
        <v>1829</v>
      </c>
    </row>
    <row r="128">
      <c r="A128" s="42" t="s">
        <v>1405</v>
      </c>
      <c r="B128" s="42" t="s">
        <v>1830</v>
      </c>
      <c r="D128" s="108" t="s">
        <v>1831</v>
      </c>
      <c r="E128" s="128"/>
    </row>
    <row r="129">
      <c r="A129" s="42" t="s">
        <v>1397</v>
      </c>
      <c r="B129" s="42" t="s">
        <v>1832</v>
      </c>
      <c r="C129" s="42">
        <v>1000.0</v>
      </c>
      <c r="D129" s="108" t="s">
        <v>1833</v>
      </c>
      <c r="E129" s="108" t="s">
        <v>1834</v>
      </c>
    </row>
    <row r="130">
      <c r="A130" s="42" t="s">
        <v>1397</v>
      </c>
      <c r="B130" s="42" t="s">
        <v>1835</v>
      </c>
      <c r="D130" s="108" t="s">
        <v>1836</v>
      </c>
      <c r="E130" s="108" t="s">
        <v>1837</v>
      </c>
    </row>
    <row r="131">
      <c r="A131" s="42" t="s">
        <v>1397</v>
      </c>
      <c r="B131" s="42" t="s">
        <v>1838</v>
      </c>
      <c r="D131" s="108" t="s">
        <v>1839</v>
      </c>
      <c r="E131" s="108" t="s">
        <v>1840</v>
      </c>
    </row>
    <row r="132">
      <c r="A132" s="42" t="s">
        <v>1397</v>
      </c>
      <c r="B132" s="42" t="s">
        <v>1841</v>
      </c>
      <c r="D132" s="108" t="s">
        <v>1842</v>
      </c>
      <c r="E132" s="108" t="s">
        <v>1843</v>
      </c>
    </row>
    <row r="133">
      <c r="A133" s="42" t="s">
        <v>1397</v>
      </c>
      <c r="B133" s="42" t="s">
        <v>1844</v>
      </c>
      <c r="D133" s="108" t="s">
        <v>1845</v>
      </c>
      <c r="E133" s="128"/>
    </row>
    <row r="134">
      <c r="A134" s="42" t="s">
        <v>1399</v>
      </c>
      <c r="B134" s="42" t="s">
        <v>1846</v>
      </c>
      <c r="C134" s="42">
        <v>1000.0</v>
      </c>
      <c r="D134" s="108" t="s">
        <v>1847</v>
      </c>
      <c r="E134" s="108" t="s">
        <v>1848</v>
      </c>
    </row>
    <row r="135">
      <c r="A135" s="42" t="s">
        <v>1399</v>
      </c>
      <c r="B135" s="42" t="s">
        <v>1849</v>
      </c>
      <c r="D135" s="112" t="s">
        <v>1627</v>
      </c>
      <c r="E135" s="108" t="s">
        <v>1628</v>
      </c>
      <c r="F135" s="30"/>
      <c r="G135" s="30" t="b">
        <v>1</v>
      </c>
    </row>
    <row r="136">
      <c r="A136" s="42" t="s">
        <v>1399</v>
      </c>
      <c r="B136" s="42" t="s">
        <v>1850</v>
      </c>
      <c r="D136" s="108" t="s">
        <v>1851</v>
      </c>
      <c r="E136" s="108" t="s">
        <v>1852</v>
      </c>
    </row>
    <row r="137">
      <c r="A137" s="42" t="s">
        <v>1399</v>
      </c>
      <c r="B137" s="42" t="s">
        <v>1853</v>
      </c>
      <c r="D137" s="108" t="s">
        <v>1854</v>
      </c>
      <c r="E137" s="108" t="s">
        <v>1855</v>
      </c>
    </row>
    <row r="138">
      <c r="A138" s="42" t="s">
        <v>1399</v>
      </c>
      <c r="B138" s="42" t="s">
        <v>1856</v>
      </c>
      <c r="D138" s="108" t="s">
        <v>1857</v>
      </c>
      <c r="E138" s="128"/>
      <c r="F138" s="42" t="s">
        <v>1846</v>
      </c>
    </row>
    <row r="139">
      <c r="A139" s="42" t="s">
        <v>1409</v>
      </c>
      <c r="B139" s="42" t="s">
        <v>1858</v>
      </c>
      <c r="C139" s="42">
        <v>1000.0</v>
      </c>
      <c r="D139" s="108" t="s">
        <v>1859</v>
      </c>
      <c r="E139" s="108" t="s">
        <v>1860</v>
      </c>
    </row>
    <row r="140">
      <c r="A140" s="42" t="s">
        <v>1409</v>
      </c>
      <c r="B140" s="42" t="s">
        <v>1861</v>
      </c>
      <c r="D140" s="112" t="s">
        <v>1862</v>
      </c>
      <c r="E140" s="108" t="s">
        <v>1863</v>
      </c>
      <c r="F140" s="30"/>
      <c r="G140" s="30" t="b">
        <v>1</v>
      </c>
    </row>
    <row r="141">
      <c r="A141" s="42" t="s">
        <v>1409</v>
      </c>
      <c r="B141" s="42" t="s">
        <v>1864</v>
      </c>
      <c r="D141" s="108" t="s">
        <v>1865</v>
      </c>
      <c r="E141" s="108" t="s">
        <v>1866</v>
      </c>
    </row>
    <row r="142">
      <c r="A142" s="42" t="s">
        <v>1409</v>
      </c>
      <c r="B142" s="42" t="s">
        <v>1867</v>
      </c>
      <c r="D142" s="108" t="s">
        <v>1868</v>
      </c>
      <c r="E142" s="108" t="s">
        <v>1869</v>
      </c>
    </row>
    <row r="143">
      <c r="A143" s="42" t="s">
        <v>1409</v>
      </c>
      <c r="B143" s="42" t="s">
        <v>1870</v>
      </c>
      <c r="D143" s="108" t="s">
        <v>1871</v>
      </c>
      <c r="E143" s="128"/>
      <c r="F143" s="42" t="s">
        <v>1858</v>
      </c>
    </row>
    <row r="144">
      <c r="A144" s="42" t="s">
        <v>1423</v>
      </c>
      <c r="B144" s="42" t="s">
        <v>1872</v>
      </c>
      <c r="C144" s="42">
        <v>1000.0</v>
      </c>
      <c r="D144" s="108" t="s">
        <v>1873</v>
      </c>
      <c r="E144" s="108" t="s">
        <v>1874</v>
      </c>
    </row>
    <row r="145">
      <c r="A145" s="42" t="s">
        <v>1423</v>
      </c>
      <c r="B145" s="42" t="s">
        <v>1875</v>
      </c>
      <c r="D145" s="108" t="s">
        <v>1876</v>
      </c>
      <c r="E145" s="108" t="s">
        <v>1877</v>
      </c>
    </row>
    <row r="146">
      <c r="A146" s="42" t="s">
        <v>1423</v>
      </c>
      <c r="B146" s="42" t="s">
        <v>1878</v>
      </c>
      <c r="D146" s="108" t="s">
        <v>1879</v>
      </c>
      <c r="E146" s="108" t="s">
        <v>1880</v>
      </c>
    </row>
    <row r="147">
      <c r="A147" s="42" t="s">
        <v>1423</v>
      </c>
      <c r="B147" s="42" t="s">
        <v>1881</v>
      </c>
      <c r="D147" s="108" t="s">
        <v>1882</v>
      </c>
      <c r="E147" s="108" t="s">
        <v>1883</v>
      </c>
    </row>
    <row r="148">
      <c r="A148" s="42" t="s">
        <v>1423</v>
      </c>
      <c r="B148" s="42" t="s">
        <v>1884</v>
      </c>
      <c r="D148" s="108" t="s">
        <v>1885</v>
      </c>
      <c r="E148" s="128"/>
    </row>
    <row r="149">
      <c r="A149" s="42" t="s">
        <v>1425</v>
      </c>
      <c r="B149" s="42" t="s">
        <v>1886</v>
      </c>
      <c r="C149" s="42">
        <v>1000.0</v>
      </c>
      <c r="D149" s="108" t="s">
        <v>1887</v>
      </c>
      <c r="E149" s="108" t="s">
        <v>1888</v>
      </c>
    </row>
    <row r="150">
      <c r="A150" s="42" t="s">
        <v>1425</v>
      </c>
      <c r="B150" s="42" t="s">
        <v>1889</v>
      </c>
      <c r="D150" s="108" t="s">
        <v>1890</v>
      </c>
      <c r="E150" s="108" t="s">
        <v>1891</v>
      </c>
    </row>
    <row r="151">
      <c r="A151" s="42" t="s">
        <v>1425</v>
      </c>
      <c r="B151" s="42" t="s">
        <v>1892</v>
      </c>
      <c r="D151" s="108" t="s">
        <v>1893</v>
      </c>
      <c r="E151" s="108" t="s">
        <v>1894</v>
      </c>
    </row>
    <row r="152">
      <c r="A152" s="42" t="s">
        <v>1425</v>
      </c>
      <c r="B152" s="42" t="s">
        <v>1895</v>
      </c>
      <c r="D152" s="108" t="s">
        <v>1896</v>
      </c>
      <c r="E152" s="108" t="s">
        <v>1897</v>
      </c>
    </row>
    <row r="153">
      <c r="A153" s="42" t="s">
        <v>1425</v>
      </c>
      <c r="B153" s="42" t="s">
        <v>1898</v>
      </c>
      <c r="D153" s="108" t="s">
        <v>1899</v>
      </c>
      <c r="E153" s="128"/>
    </row>
    <row r="154">
      <c r="A154" s="42" t="s">
        <v>1421</v>
      </c>
      <c r="B154" s="42" t="s">
        <v>1900</v>
      </c>
      <c r="C154" s="42">
        <v>1000.0</v>
      </c>
      <c r="D154" s="108" t="s">
        <v>1901</v>
      </c>
      <c r="E154" s="108" t="s">
        <v>1902</v>
      </c>
    </row>
    <row r="155">
      <c r="A155" s="42" t="s">
        <v>1421</v>
      </c>
      <c r="B155" s="42" t="s">
        <v>1903</v>
      </c>
      <c r="D155" s="108" t="s">
        <v>1904</v>
      </c>
      <c r="E155" s="108" t="s">
        <v>1905</v>
      </c>
    </row>
    <row r="156">
      <c r="A156" s="42" t="s">
        <v>1421</v>
      </c>
      <c r="B156" s="42" t="s">
        <v>1906</v>
      </c>
      <c r="D156" s="108" t="s">
        <v>1907</v>
      </c>
      <c r="E156" s="108" t="s">
        <v>1908</v>
      </c>
    </row>
    <row r="157">
      <c r="A157" s="42" t="s">
        <v>1421</v>
      </c>
      <c r="B157" s="42" t="s">
        <v>1909</v>
      </c>
      <c r="D157" s="108" t="s">
        <v>1910</v>
      </c>
      <c r="E157" s="108" t="s">
        <v>1911</v>
      </c>
    </row>
    <row r="158">
      <c r="A158" s="42" t="s">
        <v>1421</v>
      </c>
      <c r="B158" s="42" t="s">
        <v>1912</v>
      </c>
      <c r="D158" s="108" t="s">
        <v>1913</v>
      </c>
      <c r="E158" s="128"/>
      <c r="F158" s="42" t="s">
        <v>1900</v>
      </c>
    </row>
    <row r="159">
      <c r="A159" s="42" t="s">
        <v>1435</v>
      </c>
      <c r="B159" s="42" t="s">
        <v>1914</v>
      </c>
      <c r="D159" s="108" t="s">
        <v>1915</v>
      </c>
      <c r="E159" s="108" t="s">
        <v>1916</v>
      </c>
    </row>
    <row r="160">
      <c r="A160" s="42" t="s">
        <v>1435</v>
      </c>
      <c r="B160" s="42" t="s">
        <v>1917</v>
      </c>
      <c r="D160" s="108" t="s">
        <v>1918</v>
      </c>
      <c r="E160" s="108" t="s">
        <v>1883</v>
      </c>
    </row>
    <row r="161">
      <c r="A161" s="42" t="s">
        <v>1435</v>
      </c>
      <c r="B161" s="42" t="s">
        <v>1919</v>
      </c>
      <c r="D161" s="108" t="s">
        <v>1920</v>
      </c>
      <c r="E161" s="108" t="s">
        <v>1921</v>
      </c>
    </row>
    <row r="162">
      <c r="A162" s="42" t="s">
        <v>1435</v>
      </c>
      <c r="B162" s="42" t="s">
        <v>1922</v>
      </c>
      <c r="D162" s="108" t="s">
        <v>1923</v>
      </c>
      <c r="E162" s="108" t="s">
        <v>1924</v>
      </c>
    </row>
    <row r="163">
      <c r="A163" s="42" t="s">
        <v>1435</v>
      </c>
      <c r="B163" s="42" t="s">
        <v>1925</v>
      </c>
      <c r="D163" s="108" t="s">
        <v>1926</v>
      </c>
      <c r="E163" s="128"/>
      <c r="F163" s="42" t="s">
        <v>1914</v>
      </c>
    </row>
    <row r="164">
      <c r="A164" s="42" t="s">
        <v>1437</v>
      </c>
      <c r="B164" s="42" t="s">
        <v>1927</v>
      </c>
      <c r="D164" s="108" t="s">
        <v>1928</v>
      </c>
      <c r="E164" s="108" t="s">
        <v>1929</v>
      </c>
    </row>
    <row r="165">
      <c r="A165" s="42" t="s">
        <v>1437</v>
      </c>
      <c r="B165" s="42" t="s">
        <v>1930</v>
      </c>
      <c r="D165" s="108" t="s">
        <v>1931</v>
      </c>
      <c r="E165" s="108" t="s">
        <v>1932</v>
      </c>
    </row>
    <row r="166">
      <c r="A166" s="42" t="s">
        <v>1437</v>
      </c>
      <c r="B166" s="42" t="s">
        <v>1933</v>
      </c>
      <c r="D166" s="108" t="s">
        <v>1934</v>
      </c>
      <c r="E166" s="108" t="s">
        <v>1935</v>
      </c>
    </row>
    <row r="167">
      <c r="A167" s="42" t="s">
        <v>1437</v>
      </c>
      <c r="B167" s="42" t="s">
        <v>1936</v>
      </c>
      <c r="D167" s="108" t="s">
        <v>1937</v>
      </c>
      <c r="E167" s="108" t="s">
        <v>1938</v>
      </c>
    </row>
    <row r="168">
      <c r="A168" s="42" t="s">
        <v>1437</v>
      </c>
      <c r="B168" s="42" t="s">
        <v>1939</v>
      </c>
      <c r="D168" s="108" t="s">
        <v>1940</v>
      </c>
      <c r="E168" s="128"/>
    </row>
    <row r="169">
      <c r="A169" s="42" t="s">
        <v>1439</v>
      </c>
      <c r="B169" s="42" t="s">
        <v>1941</v>
      </c>
      <c r="C169" s="42">
        <v>1000.0</v>
      </c>
      <c r="D169" s="108" t="s">
        <v>1942</v>
      </c>
      <c r="E169" s="128"/>
    </row>
    <row r="170">
      <c r="A170" s="42" t="s">
        <v>1439</v>
      </c>
      <c r="B170" s="42" t="s">
        <v>1943</v>
      </c>
      <c r="D170" s="108" t="s">
        <v>1944</v>
      </c>
      <c r="E170" s="108" t="s">
        <v>1945</v>
      </c>
    </row>
    <row r="171">
      <c r="A171" s="42" t="s">
        <v>1439</v>
      </c>
      <c r="B171" s="42" t="s">
        <v>1946</v>
      </c>
      <c r="D171" s="108" t="s">
        <v>1947</v>
      </c>
      <c r="E171" s="108" t="s">
        <v>1948</v>
      </c>
    </row>
    <row r="172">
      <c r="A172" s="42" t="s">
        <v>1439</v>
      </c>
      <c r="B172" s="42" t="s">
        <v>1949</v>
      </c>
      <c r="D172" s="108" t="s">
        <v>1950</v>
      </c>
      <c r="E172" s="108" t="s">
        <v>1951</v>
      </c>
    </row>
    <row r="173">
      <c r="A173" s="42" t="s">
        <v>1439</v>
      </c>
      <c r="B173" s="42" t="s">
        <v>1952</v>
      </c>
      <c r="D173" s="108" t="s">
        <v>1953</v>
      </c>
      <c r="E173" s="128"/>
      <c r="F173" s="42" t="s">
        <v>1941</v>
      </c>
    </row>
    <row r="174">
      <c r="A174" s="42" t="s">
        <v>1441</v>
      </c>
      <c r="B174" s="42" t="s">
        <v>1954</v>
      </c>
      <c r="C174" s="42">
        <v>1000.0</v>
      </c>
      <c r="D174" s="108" t="s">
        <v>1955</v>
      </c>
      <c r="E174" s="108" t="s">
        <v>1956</v>
      </c>
    </row>
    <row r="175">
      <c r="A175" s="42" t="s">
        <v>1441</v>
      </c>
      <c r="B175" s="42" t="s">
        <v>1957</v>
      </c>
      <c r="D175" s="108" t="s">
        <v>1958</v>
      </c>
      <c r="E175" s="108" t="s">
        <v>1959</v>
      </c>
    </row>
    <row r="176">
      <c r="A176" s="42" t="s">
        <v>1441</v>
      </c>
      <c r="B176" s="42" t="s">
        <v>1960</v>
      </c>
      <c r="D176" s="108" t="s">
        <v>1961</v>
      </c>
      <c r="E176" s="108" t="s">
        <v>1962</v>
      </c>
    </row>
    <row r="177">
      <c r="A177" s="42" t="s">
        <v>1441</v>
      </c>
      <c r="B177" s="42" t="s">
        <v>1963</v>
      </c>
      <c r="D177" s="108" t="s">
        <v>1964</v>
      </c>
      <c r="E177" s="108" t="s">
        <v>1965</v>
      </c>
    </row>
    <row r="178">
      <c r="A178" s="42" t="s">
        <v>1441</v>
      </c>
      <c r="B178" s="42" t="s">
        <v>1966</v>
      </c>
      <c r="D178" s="108" t="s">
        <v>1967</v>
      </c>
      <c r="E178" s="128"/>
    </row>
    <row r="179">
      <c r="A179" s="42" t="s">
        <v>1443</v>
      </c>
      <c r="B179" s="42" t="s">
        <v>1968</v>
      </c>
      <c r="C179" s="42">
        <v>1000.0</v>
      </c>
      <c r="D179" s="108" t="s">
        <v>1969</v>
      </c>
      <c r="E179" s="108" t="s">
        <v>1970</v>
      </c>
    </row>
    <row r="180">
      <c r="A180" s="42" t="s">
        <v>1443</v>
      </c>
      <c r="B180" s="42" t="s">
        <v>1971</v>
      </c>
      <c r="D180" s="108" t="s">
        <v>1972</v>
      </c>
      <c r="E180" s="108" t="s">
        <v>1973</v>
      </c>
    </row>
    <row r="181">
      <c r="A181" s="42" t="s">
        <v>1443</v>
      </c>
      <c r="B181" s="42" t="s">
        <v>1974</v>
      </c>
      <c r="D181" s="108" t="s">
        <v>1975</v>
      </c>
      <c r="E181" s="111" t="s">
        <v>1976</v>
      </c>
    </row>
    <row r="182">
      <c r="A182" s="42" t="s">
        <v>1443</v>
      </c>
      <c r="B182" s="42" t="s">
        <v>1977</v>
      </c>
      <c r="D182" s="108" t="s">
        <v>1978</v>
      </c>
      <c r="E182" s="108" t="s">
        <v>1979</v>
      </c>
    </row>
    <row r="183">
      <c r="A183" s="42" t="s">
        <v>1443</v>
      </c>
      <c r="B183" s="42" t="s">
        <v>1980</v>
      </c>
      <c r="D183" s="108" t="s">
        <v>1981</v>
      </c>
      <c r="E183" s="128"/>
    </row>
    <row r="184">
      <c r="A184" s="42" t="s">
        <v>1445</v>
      </c>
      <c r="B184" s="42" t="s">
        <v>1982</v>
      </c>
      <c r="C184" s="42">
        <v>1000.0</v>
      </c>
      <c r="D184" s="108" t="s">
        <v>1983</v>
      </c>
      <c r="E184" s="108" t="s">
        <v>1984</v>
      </c>
    </row>
    <row r="185">
      <c r="A185" s="42" t="s">
        <v>1445</v>
      </c>
      <c r="B185" s="42" t="s">
        <v>1985</v>
      </c>
      <c r="D185" s="108" t="s">
        <v>1986</v>
      </c>
      <c r="E185" s="108" t="s">
        <v>1987</v>
      </c>
    </row>
    <row r="186">
      <c r="A186" s="42" t="s">
        <v>1445</v>
      </c>
      <c r="B186" s="42" t="s">
        <v>1988</v>
      </c>
      <c r="D186" s="108" t="s">
        <v>1989</v>
      </c>
      <c r="E186" s="108" t="s">
        <v>1990</v>
      </c>
    </row>
    <row r="187">
      <c r="A187" s="42" t="s">
        <v>1445</v>
      </c>
      <c r="B187" s="42" t="s">
        <v>1991</v>
      </c>
      <c r="D187" s="108" t="s">
        <v>1992</v>
      </c>
      <c r="E187" s="108" t="s">
        <v>1993</v>
      </c>
    </row>
    <row r="188">
      <c r="A188" s="42" t="s">
        <v>1445</v>
      </c>
      <c r="B188" s="42" t="s">
        <v>1994</v>
      </c>
      <c r="D188" s="108" t="s">
        <v>1995</v>
      </c>
      <c r="E188" s="128"/>
    </row>
    <row r="189">
      <c r="A189" s="42" t="s">
        <v>1449</v>
      </c>
      <c r="B189" s="42" t="s">
        <v>1996</v>
      </c>
      <c r="C189" s="42">
        <v>1000.0</v>
      </c>
      <c r="D189" s="108" t="s">
        <v>1997</v>
      </c>
      <c r="E189" s="111" t="s">
        <v>1998</v>
      </c>
    </row>
    <row r="190">
      <c r="A190" s="42" t="s">
        <v>1449</v>
      </c>
      <c r="B190" s="42" t="s">
        <v>1999</v>
      </c>
      <c r="D190" s="108" t="s">
        <v>2000</v>
      </c>
      <c r="E190" s="108" t="s">
        <v>2001</v>
      </c>
    </row>
    <row r="191">
      <c r="A191" s="42" t="s">
        <v>1449</v>
      </c>
      <c r="B191" s="42" t="s">
        <v>2002</v>
      </c>
      <c r="D191" s="112" t="s">
        <v>2003</v>
      </c>
      <c r="E191" s="108" t="s">
        <v>2004</v>
      </c>
      <c r="F191" s="30"/>
      <c r="G191" s="30" t="b">
        <v>1</v>
      </c>
    </row>
    <row r="192">
      <c r="A192" s="42" t="s">
        <v>1449</v>
      </c>
      <c r="B192" s="42" t="s">
        <v>2005</v>
      </c>
      <c r="D192" s="108" t="s">
        <v>2006</v>
      </c>
      <c r="E192" s="108" t="s">
        <v>2007</v>
      </c>
    </row>
    <row r="193">
      <c r="A193" s="42" t="s">
        <v>1449</v>
      </c>
      <c r="B193" s="42" t="s">
        <v>2008</v>
      </c>
      <c r="D193" s="108" t="s">
        <v>2009</v>
      </c>
      <c r="E193" s="128"/>
      <c r="F193" s="42" t="s">
        <v>1996</v>
      </c>
    </row>
    <row r="194">
      <c r="A194" s="42" t="s">
        <v>1447</v>
      </c>
      <c r="B194" s="42" t="s">
        <v>1448</v>
      </c>
      <c r="C194" s="42">
        <v>1000.0</v>
      </c>
      <c r="D194" s="108" t="s">
        <v>2010</v>
      </c>
      <c r="E194" s="108" t="s">
        <v>2011</v>
      </c>
    </row>
    <row r="195">
      <c r="A195" s="42" t="s">
        <v>1447</v>
      </c>
      <c r="B195" s="42" t="s">
        <v>2012</v>
      </c>
      <c r="D195" s="112" t="s">
        <v>2013</v>
      </c>
      <c r="E195" s="108" t="s">
        <v>2014</v>
      </c>
      <c r="F195" s="30"/>
      <c r="G195" s="30" t="b">
        <v>1</v>
      </c>
    </row>
    <row r="196">
      <c r="A196" s="42" t="s">
        <v>1447</v>
      </c>
      <c r="B196" s="42" t="s">
        <v>2015</v>
      </c>
      <c r="D196" s="108" t="s">
        <v>2016</v>
      </c>
      <c r="E196" s="108" t="s">
        <v>2017</v>
      </c>
    </row>
    <row r="197">
      <c r="A197" s="42" t="s">
        <v>1447</v>
      </c>
      <c r="B197" s="42" t="s">
        <v>2018</v>
      </c>
      <c r="D197" s="108" t="s">
        <v>2019</v>
      </c>
      <c r="E197" s="108" t="s">
        <v>2020</v>
      </c>
    </row>
    <row r="198">
      <c r="A198" s="42" t="s">
        <v>1447</v>
      </c>
      <c r="B198" s="42" t="s">
        <v>2021</v>
      </c>
      <c r="D198" s="108" t="s">
        <v>2022</v>
      </c>
      <c r="E198" s="128"/>
    </row>
    <row r="199">
      <c r="A199" s="42" t="s">
        <v>1451</v>
      </c>
      <c r="B199" s="42" t="s">
        <v>2023</v>
      </c>
      <c r="C199" s="42">
        <v>1000.0</v>
      </c>
      <c r="D199" s="108" t="s">
        <v>2024</v>
      </c>
      <c r="E199" s="108" t="s">
        <v>2025</v>
      </c>
    </row>
    <row r="200">
      <c r="A200" s="42" t="s">
        <v>1451</v>
      </c>
      <c r="B200" s="42" t="s">
        <v>2026</v>
      </c>
      <c r="D200" s="109" t="s">
        <v>2027</v>
      </c>
      <c r="E200" s="129" t="s">
        <v>2028</v>
      </c>
    </row>
    <row r="201">
      <c r="A201" s="42" t="s">
        <v>1451</v>
      </c>
      <c r="B201" s="109" t="s">
        <v>2029</v>
      </c>
      <c r="D201" s="129" t="s">
        <v>2030</v>
      </c>
      <c r="E201" s="129" t="s">
        <v>2031</v>
      </c>
    </row>
    <row r="202">
      <c r="A202" s="42" t="s">
        <v>1451</v>
      </c>
      <c r="B202" s="109" t="s">
        <v>2032</v>
      </c>
      <c r="D202" s="129" t="s">
        <v>2033</v>
      </c>
      <c r="E202" s="129" t="s">
        <v>2034</v>
      </c>
    </row>
    <row r="203">
      <c r="A203" s="42" t="s">
        <v>1451</v>
      </c>
      <c r="B203" s="109" t="s">
        <v>2035</v>
      </c>
      <c r="D203" s="129" t="s">
        <v>2036</v>
      </c>
      <c r="E203" s="128"/>
      <c r="F203" s="109" t="s">
        <v>2023</v>
      </c>
    </row>
    <row r="204">
      <c r="A204" s="42" t="s">
        <v>1453</v>
      </c>
      <c r="B204" s="109" t="s">
        <v>2037</v>
      </c>
      <c r="C204" s="109">
        <v>1000.0</v>
      </c>
      <c r="D204" s="129" t="s">
        <v>2038</v>
      </c>
      <c r="E204" s="129" t="s">
        <v>2039</v>
      </c>
    </row>
    <row r="205">
      <c r="A205" s="42" t="s">
        <v>1453</v>
      </c>
      <c r="B205" s="109" t="s">
        <v>2040</v>
      </c>
      <c r="D205" s="129" t="s">
        <v>2041</v>
      </c>
      <c r="E205" s="129" t="s">
        <v>2042</v>
      </c>
    </row>
    <row r="206">
      <c r="A206" s="42" t="s">
        <v>1453</v>
      </c>
      <c r="B206" s="109" t="s">
        <v>2043</v>
      </c>
      <c r="D206" s="129" t="s">
        <v>2044</v>
      </c>
      <c r="E206" s="129" t="s">
        <v>2045</v>
      </c>
    </row>
    <row r="207">
      <c r="A207" s="42" t="s">
        <v>1453</v>
      </c>
      <c r="B207" s="109" t="s">
        <v>2046</v>
      </c>
      <c r="D207" s="129" t="s">
        <v>2047</v>
      </c>
      <c r="E207" s="128"/>
    </row>
    <row r="208">
      <c r="A208" s="42" t="s">
        <v>1453</v>
      </c>
      <c r="B208" s="109" t="s">
        <v>2048</v>
      </c>
      <c r="D208" s="129" t="s">
        <v>2049</v>
      </c>
      <c r="E208" s="128"/>
    </row>
    <row r="209">
      <c r="A209" s="30" t="s">
        <v>1459</v>
      </c>
      <c r="B209" s="30" t="s">
        <v>2050</v>
      </c>
      <c r="C209" s="42">
        <v>1000.0</v>
      </c>
      <c r="D209" s="112" t="s">
        <v>2051</v>
      </c>
      <c r="E209" s="112" t="s">
        <v>2052</v>
      </c>
    </row>
    <row r="210">
      <c r="A210" s="30" t="s">
        <v>1459</v>
      </c>
      <c r="B210" s="30" t="s">
        <v>2053</v>
      </c>
      <c r="D210" s="30" t="s">
        <v>2054</v>
      </c>
      <c r="E210" s="112" t="s">
        <v>2055</v>
      </c>
    </row>
    <row r="211">
      <c r="A211" s="30" t="s">
        <v>1459</v>
      </c>
      <c r="B211" s="30" t="s">
        <v>2056</v>
      </c>
      <c r="D211" s="112" t="s">
        <v>2057</v>
      </c>
      <c r="E211" s="112" t="s">
        <v>2058</v>
      </c>
    </row>
    <row r="212">
      <c r="A212" s="30" t="s">
        <v>1459</v>
      </c>
      <c r="B212" s="30" t="s">
        <v>2059</v>
      </c>
      <c r="D212" s="112" t="s">
        <v>2060</v>
      </c>
      <c r="E212" s="112" t="s">
        <v>2061</v>
      </c>
    </row>
    <row r="213">
      <c r="A213" s="30" t="s">
        <v>1459</v>
      </c>
      <c r="B213" s="30" t="s">
        <v>2062</v>
      </c>
      <c r="D213" s="129" t="s">
        <v>2063</v>
      </c>
      <c r="E213" s="128"/>
      <c r="F213" s="30" t="s">
        <v>2050</v>
      </c>
    </row>
    <row r="214">
      <c r="A214" s="30" t="s">
        <v>1457</v>
      </c>
      <c r="B214" s="30" t="s">
        <v>2064</v>
      </c>
      <c r="C214" s="30">
        <v>1000.0</v>
      </c>
      <c r="D214" s="112" t="s">
        <v>2065</v>
      </c>
      <c r="E214" s="112" t="s">
        <v>2066</v>
      </c>
    </row>
    <row r="215">
      <c r="A215" s="30" t="s">
        <v>1457</v>
      </c>
      <c r="B215" s="30" t="s">
        <v>2067</v>
      </c>
      <c r="D215" s="112" t="s">
        <v>2068</v>
      </c>
      <c r="E215" s="112" t="s">
        <v>2069</v>
      </c>
    </row>
    <row r="216">
      <c r="A216" s="30" t="s">
        <v>1457</v>
      </c>
      <c r="B216" s="30" t="s">
        <v>2070</v>
      </c>
      <c r="D216" s="112" t="s">
        <v>2071</v>
      </c>
      <c r="E216" s="112" t="s">
        <v>2072</v>
      </c>
    </row>
    <row r="217">
      <c r="A217" s="30" t="s">
        <v>1457</v>
      </c>
      <c r="B217" s="30" t="s">
        <v>2073</v>
      </c>
      <c r="D217" s="112" t="s">
        <v>2074</v>
      </c>
      <c r="E217" s="112" t="s">
        <v>2075</v>
      </c>
    </row>
    <row r="218">
      <c r="A218" s="30" t="s">
        <v>1457</v>
      </c>
      <c r="B218" s="30" t="s">
        <v>2076</v>
      </c>
      <c r="D218" s="112" t="s">
        <v>2077</v>
      </c>
      <c r="E218" s="128"/>
    </row>
    <row r="219">
      <c r="A219" s="30" t="s">
        <v>1455</v>
      </c>
      <c r="B219" s="30" t="s">
        <v>2078</v>
      </c>
      <c r="C219" s="30">
        <v>1000.0</v>
      </c>
      <c r="D219" s="112" t="s">
        <v>2079</v>
      </c>
      <c r="E219" s="112" t="s">
        <v>2080</v>
      </c>
    </row>
    <row r="220">
      <c r="A220" s="30" t="s">
        <v>1455</v>
      </c>
      <c r="B220" s="30" t="s">
        <v>2081</v>
      </c>
      <c r="D220" s="112" t="s">
        <v>2082</v>
      </c>
      <c r="E220" s="112" t="s">
        <v>2083</v>
      </c>
    </row>
    <row r="221">
      <c r="A221" s="30" t="s">
        <v>1455</v>
      </c>
      <c r="B221" s="30" t="s">
        <v>2084</v>
      </c>
      <c r="D221" s="112" t="s">
        <v>2085</v>
      </c>
      <c r="E221" s="112" t="s">
        <v>2086</v>
      </c>
    </row>
    <row r="222">
      <c r="A222" s="30" t="s">
        <v>1455</v>
      </c>
      <c r="B222" s="30" t="s">
        <v>2087</v>
      </c>
      <c r="D222" s="112" t="s">
        <v>2088</v>
      </c>
      <c r="E222" s="112" t="s">
        <v>2089</v>
      </c>
    </row>
    <row r="223">
      <c r="A223" s="30" t="s">
        <v>1455</v>
      </c>
      <c r="B223" s="30" t="s">
        <v>2090</v>
      </c>
      <c r="D223" s="112" t="s">
        <v>2091</v>
      </c>
      <c r="E223" s="128"/>
    </row>
    <row r="224">
      <c r="A224" s="30" t="s">
        <v>1461</v>
      </c>
      <c r="B224" s="30" t="s">
        <v>2092</v>
      </c>
      <c r="C224" s="30">
        <v>1000.0</v>
      </c>
      <c r="D224" s="112" t="s">
        <v>2093</v>
      </c>
      <c r="E224" s="112" t="s">
        <v>2094</v>
      </c>
    </row>
    <row r="225">
      <c r="A225" s="30" t="s">
        <v>1461</v>
      </c>
      <c r="B225" s="30" t="s">
        <v>2095</v>
      </c>
      <c r="D225" s="112" t="s">
        <v>2096</v>
      </c>
      <c r="E225" s="112" t="s">
        <v>2097</v>
      </c>
    </row>
    <row r="226">
      <c r="A226" s="30" t="s">
        <v>1461</v>
      </c>
      <c r="B226" s="30" t="s">
        <v>2098</v>
      </c>
      <c r="D226" s="112" t="s">
        <v>2099</v>
      </c>
      <c r="E226" s="112" t="s">
        <v>2100</v>
      </c>
    </row>
    <row r="227">
      <c r="A227" s="30" t="s">
        <v>1461</v>
      </c>
      <c r="B227" s="30" t="s">
        <v>2101</v>
      </c>
      <c r="D227" s="112" t="s">
        <v>2102</v>
      </c>
      <c r="E227" s="112" t="s">
        <v>2103</v>
      </c>
    </row>
    <row r="228">
      <c r="A228" s="30" t="s">
        <v>1461</v>
      </c>
      <c r="B228" s="30" t="s">
        <v>2104</v>
      </c>
      <c r="D228" s="112" t="s">
        <v>2105</v>
      </c>
      <c r="E228" s="128"/>
    </row>
    <row r="229">
      <c r="A229" s="30" t="s">
        <v>1463</v>
      </c>
      <c r="B229" s="30" t="s">
        <v>2106</v>
      </c>
      <c r="C229" s="30">
        <v>1000.0</v>
      </c>
      <c r="D229" s="112" t="s">
        <v>2107</v>
      </c>
      <c r="E229" s="112" t="s">
        <v>2108</v>
      </c>
    </row>
    <row r="230">
      <c r="A230" s="30" t="s">
        <v>1463</v>
      </c>
      <c r="B230" s="30" t="s">
        <v>2109</v>
      </c>
      <c r="D230" s="112" t="s">
        <v>2110</v>
      </c>
      <c r="E230" s="112" t="s">
        <v>2111</v>
      </c>
    </row>
    <row r="231">
      <c r="A231" s="30" t="s">
        <v>1463</v>
      </c>
      <c r="B231" s="30" t="s">
        <v>2112</v>
      </c>
      <c r="D231" s="112" t="s">
        <v>2113</v>
      </c>
      <c r="E231" s="112" t="s">
        <v>2114</v>
      </c>
    </row>
    <row r="232">
      <c r="A232" s="30" t="s">
        <v>1463</v>
      </c>
      <c r="B232" s="30" t="s">
        <v>2115</v>
      </c>
      <c r="D232" s="112" t="s">
        <v>2116</v>
      </c>
      <c r="E232" s="112" t="s">
        <v>2117</v>
      </c>
    </row>
    <row r="233">
      <c r="A233" s="30" t="s">
        <v>1463</v>
      </c>
      <c r="B233" s="30" t="s">
        <v>2118</v>
      </c>
      <c r="D233" s="129" t="s">
        <v>2119</v>
      </c>
      <c r="E233" s="128"/>
      <c r="F233" s="42" t="s">
        <v>2106</v>
      </c>
    </row>
    <row r="234">
      <c r="A234" s="42" t="s">
        <v>1465</v>
      </c>
      <c r="B234" s="30" t="s">
        <v>2120</v>
      </c>
      <c r="C234" s="30">
        <v>1000.0</v>
      </c>
      <c r="D234" s="112" t="s">
        <v>2121</v>
      </c>
      <c r="E234" s="112" t="s">
        <v>2122</v>
      </c>
    </row>
    <row r="235">
      <c r="A235" s="42" t="s">
        <v>1465</v>
      </c>
      <c r="B235" s="30" t="s">
        <v>2123</v>
      </c>
      <c r="D235" s="112" t="s">
        <v>2124</v>
      </c>
      <c r="E235" s="112" t="s">
        <v>2125</v>
      </c>
    </row>
    <row r="236">
      <c r="A236" s="42" t="s">
        <v>1465</v>
      </c>
      <c r="B236" s="30" t="s">
        <v>2126</v>
      </c>
      <c r="D236" s="112" t="s">
        <v>2127</v>
      </c>
      <c r="E236" s="112" t="s">
        <v>2128</v>
      </c>
    </row>
    <row r="237">
      <c r="A237" s="42" t="s">
        <v>1465</v>
      </c>
      <c r="B237" s="30" t="s">
        <v>2129</v>
      </c>
      <c r="D237" s="112" t="s">
        <v>2130</v>
      </c>
      <c r="E237" s="112" t="s">
        <v>2131</v>
      </c>
    </row>
    <row r="238">
      <c r="A238" s="42" t="s">
        <v>1465</v>
      </c>
      <c r="B238" s="30" t="s">
        <v>2132</v>
      </c>
      <c r="D238" s="129" t="s">
        <v>2133</v>
      </c>
      <c r="E238" s="128"/>
    </row>
    <row r="239">
      <c r="A239" s="30" t="s">
        <v>1467</v>
      </c>
      <c r="B239" s="30" t="s">
        <v>2134</v>
      </c>
      <c r="C239" s="30">
        <v>1000.0</v>
      </c>
      <c r="D239" s="112" t="s">
        <v>2135</v>
      </c>
      <c r="E239" s="112" t="s">
        <v>2136</v>
      </c>
    </row>
    <row r="240">
      <c r="A240" s="30" t="s">
        <v>1467</v>
      </c>
      <c r="B240" s="30" t="s">
        <v>2137</v>
      </c>
      <c r="D240" s="112" t="s">
        <v>2138</v>
      </c>
      <c r="E240" s="112" t="s">
        <v>2139</v>
      </c>
    </row>
    <row r="241">
      <c r="A241" s="30" t="s">
        <v>1467</v>
      </c>
      <c r="B241" s="30" t="s">
        <v>2140</v>
      </c>
      <c r="D241" s="112" t="s">
        <v>2141</v>
      </c>
      <c r="E241" s="112" t="s">
        <v>2142</v>
      </c>
    </row>
    <row r="242">
      <c r="A242" s="30" t="s">
        <v>1467</v>
      </c>
      <c r="B242" s="30" t="s">
        <v>2143</v>
      </c>
      <c r="D242" s="112" t="s">
        <v>2144</v>
      </c>
      <c r="E242" s="112" t="s">
        <v>2145</v>
      </c>
    </row>
    <row r="243">
      <c r="A243" s="30" t="s">
        <v>1467</v>
      </c>
      <c r="B243" s="30" t="s">
        <v>2146</v>
      </c>
      <c r="D243" s="129" t="s">
        <v>2147</v>
      </c>
      <c r="E243" s="128"/>
    </row>
    <row r="244">
      <c r="A244" s="30" t="s">
        <v>1469</v>
      </c>
      <c r="B244" s="30" t="s">
        <v>2148</v>
      </c>
      <c r="C244" s="30">
        <v>1000.0</v>
      </c>
      <c r="D244" s="112" t="s">
        <v>2149</v>
      </c>
      <c r="E244" s="112" t="s">
        <v>2150</v>
      </c>
    </row>
    <row r="245">
      <c r="A245" s="30" t="s">
        <v>1469</v>
      </c>
      <c r="B245" s="30" t="s">
        <v>2151</v>
      </c>
      <c r="D245" s="112" t="s">
        <v>2152</v>
      </c>
      <c r="E245" s="112" t="s">
        <v>2153</v>
      </c>
    </row>
    <row r="246">
      <c r="A246" s="30" t="s">
        <v>1469</v>
      </c>
      <c r="B246" s="30" t="s">
        <v>2154</v>
      </c>
      <c r="D246" s="112" t="s">
        <v>2155</v>
      </c>
      <c r="E246" s="112" t="s">
        <v>2156</v>
      </c>
    </row>
    <row r="247">
      <c r="A247" s="30" t="s">
        <v>1469</v>
      </c>
      <c r="B247" s="30" t="s">
        <v>2157</v>
      </c>
      <c r="D247" s="112" t="s">
        <v>2158</v>
      </c>
      <c r="E247" s="112" t="s">
        <v>2159</v>
      </c>
    </row>
    <row r="248">
      <c r="A248" s="30" t="s">
        <v>1469</v>
      </c>
      <c r="B248" s="30" t="s">
        <v>2160</v>
      </c>
      <c r="D248" s="112" t="s">
        <v>2161</v>
      </c>
      <c r="E248" s="128"/>
    </row>
    <row r="249">
      <c r="A249" s="30" t="s">
        <v>1471</v>
      </c>
      <c r="B249" s="30" t="s">
        <v>2162</v>
      </c>
      <c r="C249" s="30">
        <v>1000.0</v>
      </c>
      <c r="D249" s="112" t="s">
        <v>2163</v>
      </c>
      <c r="E249" s="112" t="s">
        <v>1667</v>
      </c>
    </row>
    <row r="250">
      <c r="A250" s="30" t="s">
        <v>1471</v>
      </c>
      <c r="B250" s="30" t="s">
        <v>2164</v>
      </c>
      <c r="D250" s="112" t="s">
        <v>2165</v>
      </c>
      <c r="E250" s="112" t="s">
        <v>2166</v>
      </c>
    </row>
    <row r="251">
      <c r="A251" s="30" t="s">
        <v>1471</v>
      </c>
      <c r="B251" s="30" t="s">
        <v>2167</v>
      </c>
      <c r="D251" s="112" t="s">
        <v>2168</v>
      </c>
      <c r="E251" s="112" t="s">
        <v>2169</v>
      </c>
    </row>
    <row r="252">
      <c r="A252" s="30" t="s">
        <v>1471</v>
      </c>
      <c r="B252" s="30" t="s">
        <v>2170</v>
      </c>
      <c r="D252" s="112" t="s">
        <v>2171</v>
      </c>
      <c r="E252" s="112" t="s">
        <v>2172</v>
      </c>
    </row>
    <row r="253">
      <c r="A253" s="30" t="s">
        <v>1471</v>
      </c>
      <c r="B253" s="30" t="s">
        <v>2132</v>
      </c>
      <c r="D253" s="112" t="s">
        <v>2173</v>
      </c>
      <c r="E253" s="128"/>
      <c r="F253" s="30" t="s">
        <v>2162</v>
      </c>
    </row>
    <row r="254">
      <c r="D254" s="128"/>
      <c r="E254" s="128"/>
    </row>
    <row r="255">
      <c r="D255" s="128"/>
      <c r="E255" s="128"/>
    </row>
    <row r="256">
      <c r="D256" s="128"/>
      <c r="E256" s="128"/>
    </row>
    <row r="257">
      <c r="D257" s="128"/>
      <c r="E257" s="128"/>
    </row>
    <row r="258">
      <c r="D258" s="128"/>
      <c r="E258" s="128"/>
    </row>
    <row r="259">
      <c r="D259" s="128"/>
      <c r="E259" s="128"/>
    </row>
    <row r="260">
      <c r="D260" s="128"/>
      <c r="E260" s="128"/>
    </row>
    <row r="261">
      <c r="D261" s="128"/>
      <c r="E261" s="128"/>
    </row>
    <row r="262">
      <c r="D262" s="128"/>
      <c r="E262" s="128"/>
    </row>
    <row r="263">
      <c r="D263" s="128"/>
      <c r="E263" s="128"/>
    </row>
    <row r="264">
      <c r="D264" s="128"/>
      <c r="E264" s="128"/>
    </row>
    <row r="265">
      <c r="D265" s="128"/>
      <c r="E265" s="128"/>
    </row>
    <row r="266">
      <c r="D266" s="128"/>
      <c r="E266" s="128"/>
    </row>
    <row r="267">
      <c r="D267" s="128"/>
      <c r="E267" s="128"/>
    </row>
    <row r="268">
      <c r="D268" s="128"/>
      <c r="E268" s="128"/>
    </row>
    <row r="269">
      <c r="D269" s="128"/>
      <c r="E269" s="128"/>
    </row>
    <row r="270">
      <c r="D270" s="128"/>
      <c r="E270" s="128"/>
    </row>
    <row r="271">
      <c r="D271" s="128"/>
      <c r="E271" s="128"/>
    </row>
    <row r="272">
      <c r="D272" s="128"/>
      <c r="E272" s="128"/>
    </row>
    <row r="273">
      <c r="D273" s="128"/>
      <c r="E273" s="128"/>
    </row>
    <row r="274">
      <c r="D274" s="128"/>
      <c r="E274" s="128"/>
    </row>
    <row r="275">
      <c r="D275" s="128"/>
      <c r="E275" s="128"/>
    </row>
    <row r="276">
      <c r="D276" s="128"/>
      <c r="E276" s="128"/>
    </row>
    <row r="277">
      <c r="D277" s="128"/>
      <c r="E277" s="128"/>
    </row>
    <row r="278">
      <c r="D278" s="128"/>
      <c r="E278" s="128"/>
    </row>
    <row r="279">
      <c r="D279" s="128"/>
      <c r="E279" s="128"/>
    </row>
    <row r="280">
      <c r="D280" s="128"/>
      <c r="E280" s="128"/>
    </row>
    <row r="281">
      <c r="D281" s="128"/>
      <c r="E281" s="128"/>
    </row>
    <row r="282">
      <c r="D282" s="128"/>
      <c r="E282" s="128"/>
    </row>
    <row r="283">
      <c r="D283" s="128"/>
      <c r="E283" s="128"/>
    </row>
    <row r="284">
      <c r="D284" s="128"/>
      <c r="E284" s="128"/>
    </row>
    <row r="285">
      <c r="D285" s="128"/>
      <c r="E285" s="128"/>
    </row>
    <row r="286">
      <c r="D286" s="128"/>
      <c r="E286" s="128"/>
    </row>
    <row r="287">
      <c r="D287" s="128"/>
      <c r="E287" s="128"/>
    </row>
    <row r="288">
      <c r="D288" s="128"/>
      <c r="E288" s="128"/>
    </row>
    <row r="289">
      <c r="D289" s="128"/>
      <c r="E289" s="128"/>
    </row>
    <row r="290">
      <c r="D290" s="128"/>
      <c r="E290" s="128"/>
    </row>
    <row r="291">
      <c r="D291" s="128"/>
      <c r="E291" s="128"/>
    </row>
    <row r="292">
      <c r="D292" s="128"/>
      <c r="E292" s="128"/>
    </row>
    <row r="293">
      <c r="D293" s="128"/>
      <c r="E293" s="128"/>
    </row>
    <row r="294">
      <c r="D294" s="128"/>
      <c r="E294" s="128"/>
    </row>
    <row r="295">
      <c r="D295" s="128"/>
      <c r="E295" s="128"/>
    </row>
    <row r="296">
      <c r="D296" s="128"/>
      <c r="E296" s="128"/>
    </row>
    <row r="297">
      <c r="D297" s="128"/>
      <c r="E297" s="128"/>
    </row>
    <row r="298">
      <c r="D298" s="128"/>
      <c r="E298" s="128"/>
    </row>
    <row r="299">
      <c r="D299" s="128"/>
      <c r="E299" s="128"/>
    </row>
    <row r="300">
      <c r="D300" s="128"/>
      <c r="E300" s="128"/>
    </row>
    <row r="301">
      <c r="D301" s="128"/>
      <c r="E301" s="128"/>
    </row>
    <row r="302">
      <c r="D302" s="128"/>
      <c r="E302" s="128"/>
    </row>
    <row r="303">
      <c r="D303" s="128"/>
      <c r="E303" s="128"/>
    </row>
    <row r="304">
      <c r="D304" s="128"/>
      <c r="E304" s="128"/>
    </row>
    <row r="305">
      <c r="D305" s="128"/>
      <c r="E305" s="128"/>
    </row>
    <row r="306">
      <c r="D306" s="128"/>
      <c r="E306" s="128"/>
    </row>
    <row r="307">
      <c r="D307" s="128"/>
      <c r="E307" s="128"/>
    </row>
    <row r="308">
      <c r="D308" s="128"/>
      <c r="E308" s="128"/>
    </row>
    <row r="309">
      <c r="D309" s="128"/>
      <c r="E309" s="128"/>
    </row>
    <row r="310">
      <c r="D310" s="128"/>
      <c r="E310" s="128"/>
    </row>
    <row r="311">
      <c r="D311" s="128"/>
      <c r="E311" s="128"/>
    </row>
    <row r="312">
      <c r="D312" s="128"/>
      <c r="E312" s="128"/>
    </row>
    <row r="313">
      <c r="D313" s="128"/>
      <c r="E313" s="128"/>
    </row>
    <row r="314">
      <c r="D314" s="128"/>
      <c r="E314" s="128"/>
    </row>
    <row r="315">
      <c r="D315" s="128"/>
      <c r="E315" s="128"/>
    </row>
    <row r="316">
      <c r="D316" s="128"/>
      <c r="E316" s="128"/>
    </row>
    <row r="317">
      <c r="D317" s="128"/>
      <c r="E317" s="128"/>
    </row>
    <row r="318">
      <c r="D318" s="128"/>
      <c r="E318" s="128"/>
    </row>
    <row r="319">
      <c r="D319" s="128"/>
      <c r="E319" s="128"/>
    </row>
    <row r="320">
      <c r="D320" s="128"/>
      <c r="E320" s="128"/>
    </row>
    <row r="321">
      <c r="D321" s="128"/>
      <c r="E321" s="128"/>
    </row>
    <row r="322">
      <c r="D322" s="128"/>
      <c r="E322" s="128"/>
    </row>
    <row r="323">
      <c r="D323" s="128"/>
      <c r="E323" s="128"/>
    </row>
    <row r="324">
      <c r="D324" s="128"/>
      <c r="E324" s="128"/>
    </row>
    <row r="325">
      <c r="D325" s="128"/>
      <c r="E325" s="128"/>
    </row>
    <row r="326">
      <c r="D326" s="128"/>
      <c r="E326" s="128"/>
    </row>
    <row r="327">
      <c r="D327" s="128"/>
      <c r="E327" s="128"/>
    </row>
    <row r="328">
      <c r="D328" s="128"/>
      <c r="E328" s="128"/>
    </row>
    <row r="329">
      <c r="D329" s="128"/>
      <c r="E329" s="128"/>
    </row>
    <row r="330">
      <c r="D330" s="128"/>
      <c r="E330" s="128"/>
    </row>
    <row r="331">
      <c r="D331" s="128"/>
      <c r="E331" s="128"/>
    </row>
    <row r="332">
      <c r="D332" s="128"/>
      <c r="E332" s="128"/>
    </row>
    <row r="333">
      <c r="D333" s="128"/>
      <c r="E333" s="128"/>
    </row>
    <row r="334">
      <c r="D334" s="128"/>
      <c r="E334" s="128"/>
    </row>
    <row r="335">
      <c r="D335" s="128"/>
      <c r="E335" s="128"/>
    </row>
    <row r="336">
      <c r="D336" s="128"/>
      <c r="E336" s="128"/>
    </row>
    <row r="337">
      <c r="D337" s="128"/>
      <c r="E337" s="128"/>
    </row>
    <row r="338">
      <c r="D338" s="128"/>
      <c r="E338" s="128"/>
    </row>
    <row r="339">
      <c r="D339" s="128"/>
      <c r="E339" s="128"/>
    </row>
    <row r="340">
      <c r="D340" s="128"/>
      <c r="E340" s="128"/>
    </row>
    <row r="341">
      <c r="D341" s="128"/>
      <c r="E341" s="128"/>
    </row>
    <row r="342">
      <c r="D342" s="128"/>
      <c r="E342" s="128"/>
    </row>
    <row r="343">
      <c r="D343" s="128"/>
      <c r="E343" s="128"/>
    </row>
    <row r="344">
      <c r="D344" s="128"/>
      <c r="E344" s="128"/>
    </row>
    <row r="345">
      <c r="D345" s="128"/>
      <c r="E345" s="128"/>
    </row>
    <row r="346">
      <c r="D346" s="128"/>
      <c r="E346" s="128"/>
    </row>
    <row r="347">
      <c r="D347" s="128"/>
      <c r="E347" s="128"/>
    </row>
    <row r="348">
      <c r="D348" s="128"/>
      <c r="E348" s="128"/>
    </row>
    <row r="349">
      <c r="D349" s="128"/>
      <c r="E349" s="128"/>
    </row>
    <row r="350">
      <c r="D350" s="128"/>
      <c r="E350" s="128"/>
    </row>
    <row r="351">
      <c r="D351" s="128"/>
      <c r="E351" s="128"/>
    </row>
    <row r="352">
      <c r="D352" s="128"/>
      <c r="E352" s="128"/>
    </row>
    <row r="353">
      <c r="D353" s="128"/>
      <c r="E353" s="128"/>
    </row>
    <row r="354">
      <c r="D354" s="128"/>
      <c r="E354" s="128"/>
    </row>
    <row r="355">
      <c r="D355" s="128"/>
      <c r="E355" s="128"/>
    </row>
    <row r="356">
      <c r="D356" s="128"/>
      <c r="E356" s="128"/>
    </row>
    <row r="357">
      <c r="D357" s="128"/>
      <c r="E357" s="128"/>
    </row>
    <row r="358">
      <c r="D358" s="128"/>
      <c r="E358" s="128"/>
    </row>
    <row r="359">
      <c r="D359" s="128"/>
      <c r="E359" s="128"/>
    </row>
    <row r="360">
      <c r="D360" s="128"/>
      <c r="E360" s="128"/>
    </row>
    <row r="361">
      <c r="D361" s="128"/>
      <c r="E361" s="128"/>
    </row>
    <row r="362">
      <c r="D362" s="128"/>
      <c r="E362" s="128"/>
    </row>
    <row r="363">
      <c r="D363" s="128"/>
      <c r="E363" s="128"/>
    </row>
    <row r="364">
      <c r="D364" s="128"/>
      <c r="E364" s="128"/>
    </row>
    <row r="365">
      <c r="D365" s="128"/>
      <c r="E365" s="128"/>
    </row>
    <row r="366">
      <c r="D366" s="128"/>
      <c r="E366" s="128"/>
    </row>
    <row r="367">
      <c r="D367" s="128"/>
      <c r="E367" s="128"/>
    </row>
    <row r="368">
      <c r="D368" s="128"/>
      <c r="E368" s="128"/>
    </row>
    <row r="369">
      <c r="D369" s="128"/>
      <c r="E369" s="128"/>
    </row>
    <row r="370">
      <c r="D370" s="128"/>
      <c r="E370" s="128"/>
    </row>
    <row r="371">
      <c r="D371" s="128"/>
      <c r="E371" s="128"/>
    </row>
    <row r="372">
      <c r="D372" s="128"/>
      <c r="E372" s="128"/>
    </row>
    <row r="373">
      <c r="D373" s="128"/>
      <c r="E373" s="128"/>
    </row>
    <row r="374">
      <c r="D374" s="128"/>
      <c r="E374" s="128"/>
    </row>
    <row r="375">
      <c r="D375" s="128"/>
      <c r="E375" s="128"/>
    </row>
    <row r="376">
      <c r="D376" s="128"/>
      <c r="E376" s="128"/>
    </row>
    <row r="377">
      <c r="D377" s="128"/>
      <c r="E377" s="128"/>
    </row>
    <row r="378">
      <c r="D378" s="128"/>
      <c r="E378" s="128"/>
    </row>
    <row r="379">
      <c r="D379" s="128"/>
      <c r="E379" s="128"/>
    </row>
    <row r="380">
      <c r="D380" s="128"/>
      <c r="E380" s="128"/>
    </row>
    <row r="381">
      <c r="D381" s="128"/>
      <c r="E381" s="128"/>
    </row>
    <row r="382">
      <c r="D382" s="128"/>
      <c r="E382" s="128"/>
    </row>
    <row r="383">
      <c r="D383" s="128"/>
      <c r="E383" s="128"/>
    </row>
    <row r="384">
      <c r="D384" s="128"/>
      <c r="E384" s="128"/>
    </row>
    <row r="385">
      <c r="D385" s="128"/>
      <c r="E385" s="128"/>
    </row>
    <row r="386">
      <c r="D386" s="128"/>
      <c r="E386" s="128"/>
    </row>
    <row r="387">
      <c r="D387" s="128"/>
      <c r="E387" s="128"/>
    </row>
    <row r="388">
      <c r="D388" s="128"/>
      <c r="E388" s="128"/>
    </row>
    <row r="389">
      <c r="D389" s="128"/>
      <c r="E389" s="128"/>
    </row>
    <row r="390">
      <c r="D390" s="128"/>
      <c r="E390" s="128"/>
    </row>
    <row r="391">
      <c r="D391" s="128"/>
      <c r="E391" s="128"/>
    </row>
    <row r="392">
      <c r="D392" s="128"/>
      <c r="E392" s="128"/>
    </row>
    <row r="393">
      <c r="D393" s="128"/>
      <c r="E393" s="128"/>
    </row>
    <row r="394">
      <c r="D394" s="128"/>
      <c r="E394" s="128"/>
    </row>
    <row r="395">
      <c r="D395" s="128"/>
      <c r="E395" s="128"/>
    </row>
    <row r="396">
      <c r="D396" s="128"/>
      <c r="E396" s="128"/>
    </row>
    <row r="397">
      <c r="D397" s="128"/>
      <c r="E397" s="128"/>
    </row>
    <row r="398">
      <c r="D398" s="128"/>
      <c r="E398" s="128"/>
    </row>
    <row r="399">
      <c r="D399" s="128"/>
      <c r="E399" s="128"/>
    </row>
    <row r="400">
      <c r="D400" s="128"/>
      <c r="E400" s="128"/>
    </row>
    <row r="401">
      <c r="D401" s="128"/>
      <c r="E401" s="128"/>
    </row>
    <row r="402">
      <c r="D402" s="128"/>
      <c r="E402" s="128"/>
    </row>
    <row r="403">
      <c r="D403" s="128"/>
      <c r="E403" s="128"/>
    </row>
    <row r="404">
      <c r="D404" s="128"/>
      <c r="E404" s="128"/>
    </row>
    <row r="405">
      <c r="D405" s="128"/>
      <c r="E405" s="128"/>
    </row>
    <row r="406">
      <c r="D406" s="128"/>
      <c r="E406" s="128"/>
    </row>
    <row r="407">
      <c r="D407" s="128"/>
      <c r="E407" s="128"/>
    </row>
    <row r="408">
      <c r="D408" s="128"/>
      <c r="E408" s="128"/>
    </row>
    <row r="409">
      <c r="D409" s="128"/>
      <c r="E409" s="128"/>
    </row>
    <row r="410">
      <c r="D410" s="128"/>
      <c r="E410" s="128"/>
    </row>
    <row r="411">
      <c r="D411" s="128"/>
      <c r="E411" s="128"/>
    </row>
    <row r="412">
      <c r="D412" s="128"/>
      <c r="E412" s="128"/>
    </row>
    <row r="413">
      <c r="D413" s="128"/>
      <c r="E413" s="128"/>
    </row>
    <row r="414">
      <c r="D414" s="128"/>
      <c r="E414" s="128"/>
    </row>
    <row r="415">
      <c r="D415" s="128"/>
      <c r="E415" s="128"/>
    </row>
    <row r="416">
      <c r="D416" s="128"/>
      <c r="E416" s="128"/>
    </row>
    <row r="417">
      <c r="D417" s="128"/>
      <c r="E417" s="128"/>
    </row>
    <row r="418">
      <c r="D418" s="128"/>
      <c r="E418" s="128"/>
    </row>
    <row r="419">
      <c r="D419" s="128"/>
      <c r="E419" s="128"/>
    </row>
    <row r="420">
      <c r="D420" s="128"/>
      <c r="E420" s="128"/>
    </row>
    <row r="421">
      <c r="D421" s="128"/>
      <c r="E421" s="128"/>
    </row>
    <row r="422">
      <c r="D422" s="128"/>
      <c r="E422" s="128"/>
    </row>
    <row r="423">
      <c r="D423" s="128"/>
      <c r="E423" s="128"/>
    </row>
    <row r="424">
      <c r="D424" s="128"/>
      <c r="E424" s="128"/>
    </row>
    <row r="425">
      <c r="D425" s="128"/>
      <c r="E425" s="128"/>
    </row>
    <row r="426">
      <c r="D426" s="128"/>
      <c r="E426" s="128"/>
    </row>
    <row r="427">
      <c r="D427" s="128"/>
      <c r="E427" s="128"/>
    </row>
    <row r="428">
      <c r="D428" s="128"/>
      <c r="E428" s="128"/>
    </row>
    <row r="429">
      <c r="D429" s="128"/>
      <c r="E429" s="128"/>
    </row>
    <row r="430">
      <c r="D430" s="128"/>
      <c r="E430" s="128"/>
    </row>
    <row r="431">
      <c r="D431" s="128"/>
      <c r="E431" s="128"/>
    </row>
    <row r="432">
      <c r="D432" s="128"/>
      <c r="E432" s="128"/>
    </row>
    <row r="433">
      <c r="D433" s="128"/>
      <c r="E433" s="128"/>
    </row>
    <row r="434">
      <c r="D434" s="128"/>
      <c r="E434" s="128"/>
    </row>
    <row r="435">
      <c r="D435" s="128"/>
      <c r="E435" s="128"/>
    </row>
    <row r="436">
      <c r="D436" s="128"/>
      <c r="E436" s="128"/>
    </row>
    <row r="437">
      <c r="D437" s="128"/>
      <c r="E437" s="128"/>
    </row>
    <row r="438">
      <c r="D438" s="128"/>
      <c r="E438" s="128"/>
    </row>
    <row r="439">
      <c r="D439" s="128"/>
      <c r="E439" s="128"/>
    </row>
    <row r="440">
      <c r="D440" s="128"/>
      <c r="E440" s="128"/>
    </row>
    <row r="441">
      <c r="D441" s="128"/>
      <c r="E441" s="128"/>
    </row>
    <row r="442">
      <c r="D442" s="128"/>
      <c r="E442" s="128"/>
    </row>
    <row r="443">
      <c r="D443" s="128"/>
      <c r="E443" s="128"/>
    </row>
    <row r="444">
      <c r="D444" s="128"/>
      <c r="E444" s="128"/>
    </row>
    <row r="445">
      <c r="D445" s="128"/>
      <c r="E445" s="128"/>
    </row>
    <row r="446">
      <c r="D446" s="128"/>
      <c r="E446" s="128"/>
    </row>
    <row r="447">
      <c r="D447" s="128"/>
      <c r="E447" s="128"/>
    </row>
    <row r="448">
      <c r="D448" s="128"/>
      <c r="E448" s="128"/>
    </row>
    <row r="449">
      <c r="D449" s="128"/>
      <c r="E449" s="128"/>
    </row>
    <row r="450">
      <c r="D450" s="128"/>
      <c r="E450" s="128"/>
    </row>
    <row r="451">
      <c r="D451" s="128"/>
      <c r="E451" s="128"/>
    </row>
    <row r="452">
      <c r="D452" s="128"/>
      <c r="E452" s="128"/>
    </row>
    <row r="453">
      <c r="D453" s="128"/>
      <c r="E453" s="128"/>
    </row>
    <row r="454">
      <c r="D454" s="128"/>
      <c r="E454" s="128"/>
    </row>
    <row r="455">
      <c r="D455" s="128"/>
      <c r="E455" s="128"/>
    </row>
    <row r="456">
      <c r="D456" s="128"/>
      <c r="E456" s="128"/>
    </row>
    <row r="457">
      <c r="D457" s="128"/>
      <c r="E457" s="128"/>
    </row>
    <row r="458">
      <c r="D458" s="128"/>
      <c r="E458" s="128"/>
    </row>
    <row r="459">
      <c r="D459" s="128"/>
      <c r="E459" s="128"/>
    </row>
    <row r="460">
      <c r="D460" s="128"/>
      <c r="E460" s="128"/>
    </row>
    <row r="461">
      <c r="D461" s="128"/>
      <c r="E461" s="128"/>
    </row>
    <row r="462">
      <c r="D462" s="128"/>
      <c r="E462" s="128"/>
    </row>
    <row r="463">
      <c r="D463" s="128"/>
      <c r="E463" s="128"/>
    </row>
    <row r="464">
      <c r="D464" s="128"/>
      <c r="E464" s="128"/>
    </row>
    <row r="465">
      <c r="D465" s="128"/>
      <c r="E465" s="128"/>
    </row>
    <row r="466">
      <c r="D466" s="128"/>
      <c r="E466" s="128"/>
    </row>
    <row r="467">
      <c r="D467" s="128"/>
      <c r="E467" s="128"/>
    </row>
    <row r="468">
      <c r="D468" s="128"/>
      <c r="E468" s="128"/>
    </row>
    <row r="469">
      <c r="D469" s="128"/>
      <c r="E469" s="128"/>
    </row>
    <row r="470">
      <c r="D470" s="128"/>
      <c r="E470" s="128"/>
    </row>
    <row r="471">
      <c r="D471" s="128"/>
      <c r="E471" s="128"/>
    </row>
    <row r="472">
      <c r="D472" s="128"/>
      <c r="E472" s="128"/>
    </row>
    <row r="473">
      <c r="D473" s="128"/>
      <c r="E473" s="128"/>
    </row>
    <row r="474">
      <c r="D474" s="128"/>
      <c r="E474" s="128"/>
    </row>
    <row r="475">
      <c r="D475" s="128"/>
      <c r="E475" s="128"/>
    </row>
    <row r="476">
      <c r="D476" s="128"/>
      <c r="E476" s="128"/>
    </row>
    <row r="477">
      <c r="D477" s="128"/>
      <c r="E477" s="128"/>
    </row>
    <row r="478">
      <c r="D478" s="128"/>
      <c r="E478" s="128"/>
    </row>
    <row r="479">
      <c r="D479" s="128"/>
      <c r="E479" s="128"/>
    </row>
    <row r="480">
      <c r="D480" s="128"/>
      <c r="E480" s="128"/>
    </row>
    <row r="481">
      <c r="D481" s="128"/>
      <c r="E481" s="128"/>
    </row>
    <row r="482">
      <c r="D482" s="128"/>
      <c r="E482" s="128"/>
    </row>
    <row r="483">
      <c r="D483" s="128"/>
      <c r="E483" s="128"/>
    </row>
    <row r="484">
      <c r="D484" s="128"/>
      <c r="E484" s="128"/>
    </row>
    <row r="485">
      <c r="D485" s="128"/>
      <c r="E485" s="128"/>
    </row>
    <row r="486">
      <c r="D486" s="128"/>
      <c r="E486" s="128"/>
    </row>
    <row r="487">
      <c r="D487" s="128"/>
      <c r="E487" s="128"/>
    </row>
    <row r="488">
      <c r="D488" s="128"/>
      <c r="E488" s="128"/>
    </row>
    <row r="489">
      <c r="D489" s="128"/>
      <c r="E489" s="128"/>
    </row>
    <row r="490">
      <c r="D490" s="128"/>
      <c r="E490" s="128"/>
    </row>
    <row r="491">
      <c r="D491" s="128"/>
      <c r="E491" s="128"/>
    </row>
    <row r="492">
      <c r="D492" s="128"/>
      <c r="E492" s="128"/>
    </row>
    <row r="493">
      <c r="D493" s="128"/>
      <c r="E493" s="128"/>
    </row>
    <row r="494">
      <c r="D494" s="128"/>
      <c r="E494" s="128"/>
    </row>
    <row r="495">
      <c r="D495" s="128"/>
      <c r="E495" s="128"/>
    </row>
    <row r="496">
      <c r="D496" s="128"/>
      <c r="E496" s="128"/>
    </row>
    <row r="497">
      <c r="D497" s="128"/>
      <c r="E497" s="128"/>
    </row>
    <row r="498">
      <c r="D498" s="128"/>
      <c r="E498" s="128"/>
    </row>
    <row r="499">
      <c r="D499" s="128"/>
      <c r="E499" s="128"/>
    </row>
    <row r="500">
      <c r="D500" s="128"/>
      <c r="E500" s="128"/>
    </row>
    <row r="501">
      <c r="D501" s="128"/>
      <c r="E501" s="128"/>
    </row>
    <row r="502">
      <c r="D502" s="128"/>
      <c r="E502" s="128"/>
    </row>
    <row r="503">
      <c r="D503" s="128"/>
      <c r="E503" s="128"/>
    </row>
    <row r="504">
      <c r="D504" s="128"/>
      <c r="E504" s="128"/>
    </row>
    <row r="505">
      <c r="D505" s="128"/>
      <c r="E505" s="128"/>
    </row>
    <row r="506">
      <c r="D506" s="128"/>
      <c r="E506" s="128"/>
    </row>
    <row r="507">
      <c r="D507" s="128"/>
      <c r="E507" s="128"/>
    </row>
    <row r="508">
      <c r="D508" s="128"/>
      <c r="E508" s="128"/>
    </row>
    <row r="509">
      <c r="D509" s="128"/>
      <c r="E509" s="128"/>
    </row>
    <row r="510">
      <c r="D510" s="128"/>
      <c r="E510" s="128"/>
    </row>
    <row r="511">
      <c r="D511" s="128"/>
      <c r="E511" s="128"/>
    </row>
    <row r="512">
      <c r="D512" s="128"/>
      <c r="E512" s="128"/>
    </row>
    <row r="513">
      <c r="D513" s="128"/>
      <c r="E513" s="128"/>
    </row>
    <row r="514">
      <c r="D514" s="128"/>
      <c r="E514" s="128"/>
    </row>
    <row r="515">
      <c r="D515" s="128"/>
      <c r="E515" s="128"/>
    </row>
    <row r="516">
      <c r="D516" s="128"/>
      <c r="E516" s="128"/>
    </row>
    <row r="517">
      <c r="D517" s="128"/>
      <c r="E517" s="128"/>
    </row>
    <row r="518">
      <c r="D518" s="128"/>
      <c r="E518" s="128"/>
    </row>
    <row r="519">
      <c r="D519" s="128"/>
      <c r="E519" s="128"/>
    </row>
    <row r="520">
      <c r="D520" s="128"/>
      <c r="E520" s="128"/>
    </row>
    <row r="521">
      <c r="D521" s="128"/>
      <c r="E521" s="128"/>
    </row>
    <row r="522">
      <c r="D522" s="128"/>
      <c r="E522" s="128"/>
    </row>
    <row r="523">
      <c r="D523" s="128"/>
      <c r="E523" s="128"/>
    </row>
    <row r="524">
      <c r="D524" s="128"/>
      <c r="E524" s="128"/>
    </row>
    <row r="525">
      <c r="D525" s="128"/>
      <c r="E525" s="128"/>
    </row>
    <row r="526">
      <c r="D526" s="128"/>
      <c r="E526" s="128"/>
    </row>
    <row r="527">
      <c r="D527" s="128"/>
      <c r="E527" s="128"/>
    </row>
    <row r="528">
      <c r="D528" s="128"/>
      <c r="E528" s="128"/>
    </row>
    <row r="529">
      <c r="D529" s="128"/>
      <c r="E529" s="128"/>
    </row>
    <row r="530">
      <c r="D530" s="128"/>
      <c r="E530" s="128"/>
    </row>
    <row r="531">
      <c r="D531" s="128"/>
      <c r="E531" s="128"/>
    </row>
    <row r="532">
      <c r="D532" s="128"/>
      <c r="E532" s="128"/>
    </row>
    <row r="533">
      <c r="D533" s="128"/>
      <c r="E533" s="128"/>
    </row>
    <row r="534">
      <c r="D534" s="128"/>
      <c r="E534" s="128"/>
    </row>
    <row r="535">
      <c r="D535" s="128"/>
      <c r="E535" s="128"/>
    </row>
    <row r="536">
      <c r="D536" s="128"/>
      <c r="E536" s="128"/>
    </row>
    <row r="537">
      <c r="D537" s="128"/>
      <c r="E537" s="128"/>
    </row>
    <row r="538">
      <c r="D538" s="128"/>
      <c r="E538" s="128"/>
    </row>
    <row r="539">
      <c r="D539" s="128"/>
      <c r="E539" s="128"/>
    </row>
    <row r="540">
      <c r="D540" s="128"/>
      <c r="E540" s="128"/>
    </row>
    <row r="541">
      <c r="D541" s="128"/>
      <c r="E541" s="128"/>
    </row>
    <row r="542">
      <c r="D542" s="128"/>
      <c r="E542" s="128"/>
    </row>
    <row r="543">
      <c r="D543" s="128"/>
      <c r="E543" s="128"/>
    </row>
    <row r="544">
      <c r="D544" s="128"/>
      <c r="E544" s="128"/>
    </row>
    <row r="545">
      <c r="D545" s="128"/>
      <c r="E545" s="128"/>
    </row>
    <row r="546">
      <c r="D546" s="128"/>
      <c r="E546" s="128"/>
    </row>
    <row r="547">
      <c r="D547" s="128"/>
      <c r="E547" s="128"/>
    </row>
    <row r="548">
      <c r="D548" s="128"/>
      <c r="E548" s="128"/>
    </row>
    <row r="549">
      <c r="D549" s="128"/>
      <c r="E549" s="128"/>
    </row>
    <row r="550">
      <c r="D550" s="128"/>
      <c r="E550" s="128"/>
    </row>
    <row r="551">
      <c r="D551" s="128"/>
      <c r="E551" s="128"/>
    </row>
    <row r="552">
      <c r="D552" s="128"/>
      <c r="E552" s="128"/>
    </row>
    <row r="553">
      <c r="D553" s="128"/>
      <c r="E553" s="128"/>
    </row>
    <row r="554">
      <c r="D554" s="128"/>
      <c r="E554" s="128"/>
    </row>
    <row r="555">
      <c r="D555" s="128"/>
      <c r="E555" s="128"/>
    </row>
    <row r="556">
      <c r="D556" s="128"/>
      <c r="E556" s="128"/>
    </row>
    <row r="557">
      <c r="D557" s="128"/>
      <c r="E557" s="128"/>
    </row>
    <row r="558">
      <c r="D558" s="128"/>
      <c r="E558" s="128"/>
    </row>
    <row r="559">
      <c r="D559" s="128"/>
      <c r="E559" s="128"/>
    </row>
    <row r="560">
      <c r="D560" s="128"/>
      <c r="E560" s="128"/>
    </row>
    <row r="561">
      <c r="D561" s="128"/>
      <c r="E561" s="128"/>
    </row>
    <row r="562">
      <c r="D562" s="128"/>
      <c r="E562" s="128"/>
    </row>
    <row r="563">
      <c r="D563" s="128"/>
      <c r="E563" s="128"/>
    </row>
    <row r="564">
      <c r="D564" s="128"/>
      <c r="E564" s="128"/>
    </row>
    <row r="565">
      <c r="D565" s="128"/>
      <c r="E565" s="128"/>
    </row>
    <row r="566">
      <c r="D566" s="128"/>
      <c r="E566" s="128"/>
    </row>
    <row r="567">
      <c r="D567" s="128"/>
      <c r="E567" s="128"/>
    </row>
    <row r="568">
      <c r="D568" s="128"/>
      <c r="E568" s="128"/>
    </row>
    <row r="569">
      <c r="D569" s="128"/>
      <c r="E569" s="128"/>
    </row>
    <row r="570">
      <c r="D570" s="128"/>
      <c r="E570" s="128"/>
    </row>
    <row r="571">
      <c r="D571" s="128"/>
      <c r="E571" s="128"/>
    </row>
    <row r="572">
      <c r="D572" s="128"/>
      <c r="E572" s="128"/>
    </row>
    <row r="573">
      <c r="D573" s="128"/>
      <c r="E573" s="128"/>
    </row>
    <row r="574">
      <c r="D574" s="128"/>
      <c r="E574" s="128"/>
    </row>
    <row r="575">
      <c r="D575" s="128"/>
      <c r="E575" s="128"/>
    </row>
    <row r="576">
      <c r="D576" s="128"/>
      <c r="E576" s="128"/>
    </row>
    <row r="577">
      <c r="D577" s="128"/>
      <c r="E577" s="128"/>
    </row>
    <row r="578">
      <c r="D578" s="128"/>
      <c r="E578" s="128"/>
    </row>
    <row r="579">
      <c r="D579" s="128"/>
      <c r="E579" s="128"/>
    </row>
    <row r="580">
      <c r="D580" s="128"/>
      <c r="E580" s="128"/>
    </row>
    <row r="581">
      <c r="D581" s="128"/>
      <c r="E581" s="128"/>
    </row>
    <row r="582">
      <c r="D582" s="128"/>
      <c r="E582" s="128"/>
    </row>
    <row r="583">
      <c r="D583" s="128"/>
      <c r="E583" s="128"/>
    </row>
    <row r="584">
      <c r="D584" s="128"/>
      <c r="E584" s="128"/>
    </row>
    <row r="585">
      <c r="D585" s="128"/>
      <c r="E585" s="128"/>
    </row>
    <row r="586">
      <c r="D586" s="128"/>
      <c r="E586" s="128"/>
    </row>
    <row r="587">
      <c r="D587" s="128"/>
      <c r="E587" s="128"/>
    </row>
    <row r="588">
      <c r="D588" s="128"/>
      <c r="E588" s="128"/>
    </row>
    <row r="589">
      <c r="D589" s="128"/>
      <c r="E589" s="128"/>
    </row>
    <row r="590">
      <c r="D590" s="128"/>
      <c r="E590" s="128"/>
    </row>
    <row r="591">
      <c r="D591" s="128"/>
      <c r="E591" s="128"/>
    </row>
    <row r="592">
      <c r="D592" s="128"/>
      <c r="E592" s="128"/>
    </row>
    <row r="593">
      <c r="D593" s="128"/>
      <c r="E593" s="128"/>
    </row>
    <row r="594">
      <c r="D594" s="128"/>
      <c r="E594" s="128"/>
    </row>
    <row r="595">
      <c r="D595" s="128"/>
      <c r="E595" s="128"/>
    </row>
    <row r="596">
      <c r="D596" s="128"/>
      <c r="E596" s="128"/>
    </row>
    <row r="597">
      <c r="D597" s="128"/>
      <c r="E597" s="128"/>
    </row>
    <row r="598">
      <c r="D598" s="128"/>
      <c r="E598" s="128"/>
    </row>
    <row r="599">
      <c r="D599" s="128"/>
      <c r="E599" s="128"/>
    </row>
    <row r="600">
      <c r="D600" s="128"/>
      <c r="E600" s="128"/>
    </row>
    <row r="601">
      <c r="D601" s="128"/>
      <c r="E601" s="128"/>
    </row>
    <row r="602">
      <c r="D602" s="128"/>
      <c r="E602" s="128"/>
    </row>
    <row r="603">
      <c r="D603" s="128"/>
      <c r="E603" s="128"/>
    </row>
    <row r="604">
      <c r="D604" s="128"/>
      <c r="E604" s="128"/>
    </row>
    <row r="605">
      <c r="D605" s="128"/>
      <c r="E605" s="128"/>
    </row>
    <row r="606">
      <c r="D606" s="128"/>
      <c r="E606" s="128"/>
    </row>
    <row r="607">
      <c r="D607" s="128"/>
      <c r="E607" s="128"/>
    </row>
    <row r="608">
      <c r="D608" s="128"/>
      <c r="E608" s="128"/>
    </row>
    <row r="609">
      <c r="D609" s="128"/>
      <c r="E609" s="128"/>
    </row>
    <row r="610">
      <c r="D610" s="128"/>
      <c r="E610" s="128"/>
    </row>
    <row r="611">
      <c r="D611" s="128"/>
      <c r="E611" s="128"/>
    </row>
    <row r="612">
      <c r="D612" s="128"/>
      <c r="E612" s="128"/>
    </row>
    <row r="613">
      <c r="D613" s="128"/>
      <c r="E613" s="128"/>
    </row>
    <row r="614">
      <c r="D614" s="128"/>
      <c r="E614" s="128"/>
    </row>
    <row r="615">
      <c r="D615" s="128"/>
      <c r="E615" s="128"/>
    </row>
    <row r="616">
      <c r="D616" s="128"/>
      <c r="E616" s="128"/>
    </row>
    <row r="617">
      <c r="D617" s="128"/>
      <c r="E617" s="128"/>
    </row>
    <row r="618">
      <c r="D618" s="128"/>
      <c r="E618" s="128"/>
    </row>
    <row r="619">
      <c r="D619" s="128"/>
      <c r="E619" s="128"/>
    </row>
    <row r="620">
      <c r="D620" s="128"/>
      <c r="E620" s="128"/>
    </row>
    <row r="621">
      <c r="D621" s="128"/>
      <c r="E621" s="128"/>
    </row>
    <row r="622">
      <c r="D622" s="128"/>
      <c r="E622" s="128"/>
    </row>
    <row r="623">
      <c r="D623" s="128"/>
      <c r="E623" s="128"/>
    </row>
    <row r="624">
      <c r="D624" s="128"/>
      <c r="E624" s="128"/>
    </row>
    <row r="625">
      <c r="D625" s="128"/>
      <c r="E625" s="128"/>
    </row>
    <row r="626">
      <c r="D626" s="128"/>
      <c r="E626" s="128"/>
    </row>
    <row r="627">
      <c r="D627" s="128"/>
      <c r="E627" s="128"/>
    </row>
    <row r="628">
      <c r="D628" s="128"/>
      <c r="E628" s="128"/>
    </row>
    <row r="629">
      <c r="D629" s="128"/>
      <c r="E629" s="128"/>
    </row>
    <row r="630">
      <c r="D630" s="128"/>
      <c r="E630" s="128"/>
    </row>
    <row r="631">
      <c r="D631" s="128"/>
      <c r="E631" s="128"/>
    </row>
    <row r="632">
      <c r="D632" s="128"/>
      <c r="E632" s="128"/>
    </row>
    <row r="633">
      <c r="D633" s="128"/>
      <c r="E633" s="128"/>
    </row>
    <row r="634">
      <c r="D634" s="128"/>
      <c r="E634" s="128"/>
    </row>
    <row r="635">
      <c r="D635" s="128"/>
      <c r="E635" s="128"/>
    </row>
    <row r="636">
      <c r="D636" s="128"/>
      <c r="E636" s="128"/>
    </row>
    <row r="637">
      <c r="D637" s="128"/>
      <c r="E637" s="128"/>
    </row>
    <row r="638">
      <c r="D638" s="128"/>
      <c r="E638" s="128"/>
    </row>
    <row r="639">
      <c r="D639" s="128"/>
      <c r="E639" s="128"/>
    </row>
    <row r="640">
      <c r="D640" s="128"/>
      <c r="E640" s="128"/>
    </row>
    <row r="641">
      <c r="D641" s="128"/>
      <c r="E641" s="128"/>
    </row>
    <row r="642">
      <c r="D642" s="128"/>
      <c r="E642" s="128"/>
    </row>
    <row r="643">
      <c r="D643" s="128"/>
      <c r="E643" s="128"/>
    </row>
    <row r="644">
      <c r="D644" s="128"/>
      <c r="E644" s="128"/>
    </row>
    <row r="645">
      <c r="D645" s="128"/>
      <c r="E645" s="128"/>
    </row>
    <row r="646">
      <c r="D646" s="128"/>
      <c r="E646" s="128"/>
    </row>
    <row r="647">
      <c r="D647" s="128"/>
      <c r="E647" s="128"/>
    </row>
    <row r="648">
      <c r="D648" s="128"/>
      <c r="E648" s="128"/>
    </row>
    <row r="649">
      <c r="D649" s="128"/>
      <c r="E649" s="128"/>
    </row>
    <row r="650">
      <c r="D650" s="128"/>
      <c r="E650" s="128"/>
    </row>
    <row r="651">
      <c r="D651" s="128"/>
      <c r="E651" s="128"/>
    </row>
    <row r="652">
      <c r="D652" s="128"/>
      <c r="E652" s="128"/>
    </row>
    <row r="653">
      <c r="D653" s="128"/>
      <c r="E653" s="128"/>
    </row>
    <row r="654">
      <c r="D654" s="128"/>
      <c r="E654" s="128"/>
    </row>
    <row r="655">
      <c r="D655" s="128"/>
      <c r="E655" s="128"/>
    </row>
    <row r="656">
      <c r="D656" s="128"/>
      <c r="E656" s="128"/>
    </row>
    <row r="657">
      <c r="D657" s="128"/>
      <c r="E657" s="128"/>
    </row>
    <row r="658">
      <c r="D658" s="128"/>
      <c r="E658" s="128"/>
    </row>
    <row r="659">
      <c r="D659" s="128"/>
      <c r="E659" s="128"/>
    </row>
    <row r="660">
      <c r="D660" s="128"/>
      <c r="E660" s="128"/>
    </row>
    <row r="661">
      <c r="D661" s="128"/>
      <c r="E661" s="128"/>
    </row>
    <row r="662">
      <c r="D662" s="128"/>
      <c r="E662" s="128"/>
    </row>
    <row r="663">
      <c r="D663" s="128"/>
      <c r="E663" s="128"/>
    </row>
    <row r="664">
      <c r="D664" s="128"/>
      <c r="E664" s="128"/>
    </row>
    <row r="665">
      <c r="D665" s="128"/>
      <c r="E665" s="128"/>
    </row>
    <row r="666">
      <c r="D666" s="128"/>
      <c r="E666" s="128"/>
    </row>
    <row r="667">
      <c r="D667" s="128"/>
      <c r="E667" s="128"/>
    </row>
    <row r="668">
      <c r="D668" s="128"/>
      <c r="E668" s="128"/>
    </row>
    <row r="669">
      <c r="D669" s="128"/>
      <c r="E669" s="128"/>
    </row>
    <row r="670">
      <c r="D670" s="128"/>
      <c r="E670" s="128"/>
    </row>
    <row r="671">
      <c r="D671" s="128"/>
      <c r="E671" s="128"/>
    </row>
    <row r="672">
      <c r="D672" s="128"/>
      <c r="E672" s="128"/>
    </row>
    <row r="673">
      <c r="D673" s="128"/>
      <c r="E673" s="128"/>
    </row>
    <row r="674">
      <c r="D674" s="128"/>
      <c r="E674" s="128"/>
    </row>
    <row r="675">
      <c r="D675" s="128"/>
      <c r="E675" s="128"/>
    </row>
    <row r="676">
      <c r="D676" s="128"/>
      <c r="E676" s="128"/>
    </row>
    <row r="677">
      <c r="D677" s="128"/>
      <c r="E677" s="128"/>
    </row>
    <row r="678">
      <c r="D678" s="128"/>
      <c r="E678" s="128"/>
    </row>
    <row r="679">
      <c r="D679" s="128"/>
      <c r="E679" s="128"/>
    </row>
    <row r="680">
      <c r="D680" s="128"/>
      <c r="E680" s="128"/>
    </row>
    <row r="681">
      <c r="D681" s="128"/>
      <c r="E681" s="128"/>
    </row>
    <row r="682">
      <c r="D682" s="128"/>
      <c r="E682" s="128"/>
    </row>
    <row r="683">
      <c r="D683" s="128"/>
      <c r="E683" s="128"/>
    </row>
    <row r="684">
      <c r="D684" s="128"/>
      <c r="E684" s="128"/>
    </row>
    <row r="685">
      <c r="D685" s="128"/>
      <c r="E685" s="128"/>
    </row>
    <row r="686">
      <c r="D686" s="128"/>
      <c r="E686" s="128"/>
    </row>
    <row r="687">
      <c r="D687" s="128"/>
      <c r="E687" s="128"/>
    </row>
    <row r="688">
      <c r="D688" s="128"/>
      <c r="E688" s="128"/>
    </row>
    <row r="689">
      <c r="D689" s="128"/>
      <c r="E689" s="128"/>
    </row>
    <row r="690">
      <c r="D690" s="128"/>
      <c r="E690" s="128"/>
    </row>
    <row r="691">
      <c r="D691" s="128"/>
      <c r="E691" s="128"/>
    </row>
    <row r="692">
      <c r="D692" s="128"/>
      <c r="E692" s="128"/>
    </row>
    <row r="693">
      <c r="D693" s="128"/>
      <c r="E693" s="128"/>
    </row>
    <row r="694">
      <c r="D694" s="128"/>
      <c r="E694" s="128"/>
    </row>
    <row r="695">
      <c r="D695" s="128"/>
      <c r="E695" s="128"/>
    </row>
    <row r="696">
      <c r="D696" s="128"/>
      <c r="E696" s="128"/>
    </row>
    <row r="697">
      <c r="D697" s="128"/>
      <c r="E697" s="128"/>
    </row>
    <row r="698">
      <c r="D698" s="128"/>
      <c r="E698" s="128"/>
    </row>
    <row r="699">
      <c r="D699" s="128"/>
      <c r="E699" s="128"/>
    </row>
    <row r="700">
      <c r="D700" s="128"/>
      <c r="E700" s="128"/>
    </row>
    <row r="701">
      <c r="D701" s="128"/>
      <c r="E701" s="128"/>
    </row>
    <row r="702">
      <c r="D702" s="128"/>
      <c r="E702" s="128"/>
    </row>
    <row r="703">
      <c r="D703" s="128"/>
      <c r="E703" s="128"/>
    </row>
    <row r="704">
      <c r="D704" s="128"/>
      <c r="E704" s="128"/>
    </row>
    <row r="705">
      <c r="D705" s="128"/>
      <c r="E705" s="128"/>
    </row>
    <row r="706">
      <c r="D706" s="128"/>
      <c r="E706" s="128"/>
    </row>
    <row r="707">
      <c r="D707" s="128"/>
      <c r="E707" s="128"/>
    </row>
    <row r="708">
      <c r="D708" s="128"/>
      <c r="E708" s="128"/>
    </row>
    <row r="709">
      <c r="D709" s="128"/>
      <c r="E709" s="128"/>
    </row>
    <row r="710">
      <c r="D710" s="128"/>
      <c r="E710" s="128"/>
    </row>
    <row r="711">
      <c r="D711" s="128"/>
      <c r="E711" s="128"/>
    </row>
    <row r="712">
      <c r="D712" s="128"/>
      <c r="E712" s="128"/>
    </row>
    <row r="713">
      <c r="D713" s="128"/>
      <c r="E713" s="128"/>
    </row>
    <row r="714">
      <c r="D714" s="128"/>
      <c r="E714" s="128"/>
    </row>
    <row r="715">
      <c r="D715" s="128"/>
      <c r="E715" s="128"/>
    </row>
    <row r="716">
      <c r="D716" s="128"/>
      <c r="E716" s="128"/>
    </row>
    <row r="717">
      <c r="D717" s="128"/>
      <c r="E717" s="128"/>
    </row>
    <row r="718">
      <c r="D718" s="128"/>
      <c r="E718" s="128"/>
    </row>
    <row r="719">
      <c r="D719" s="128"/>
      <c r="E719" s="128"/>
    </row>
    <row r="720">
      <c r="D720" s="128"/>
      <c r="E720" s="128"/>
    </row>
    <row r="721">
      <c r="D721" s="128"/>
      <c r="E721" s="128"/>
    </row>
    <row r="722">
      <c r="D722" s="128"/>
      <c r="E722" s="128"/>
    </row>
    <row r="723">
      <c r="D723" s="128"/>
      <c r="E723" s="128"/>
    </row>
    <row r="724">
      <c r="D724" s="128"/>
      <c r="E724" s="128"/>
    </row>
    <row r="725">
      <c r="D725" s="128"/>
      <c r="E725" s="128"/>
    </row>
    <row r="726">
      <c r="D726" s="128"/>
      <c r="E726" s="128"/>
    </row>
    <row r="727">
      <c r="D727" s="128"/>
      <c r="E727" s="128"/>
    </row>
    <row r="728">
      <c r="D728" s="128"/>
      <c r="E728" s="128"/>
    </row>
    <row r="729">
      <c r="D729" s="128"/>
      <c r="E729" s="128"/>
    </row>
    <row r="730">
      <c r="D730" s="128"/>
      <c r="E730" s="128"/>
    </row>
    <row r="731">
      <c r="D731" s="128"/>
      <c r="E731" s="128"/>
    </row>
    <row r="732">
      <c r="D732" s="128"/>
      <c r="E732" s="128"/>
    </row>
    <row r="733">
      <c r="D733" s="128"/>
      <c r="E733" s="128"/>
    </row>
    <row r="734">
      <c r="D734" s="128"/>
      <c r="E734" s="128"/>
    </row>
    <row r="735">
      <c r="D735" s="128"/>
      <c r="E735" s="128"/>
    </row>
    <row r="736">
      <c r="D736" s="128"/>
      <c r="E736" s="128"/>
    </row>
    <row r="737">
      <c r="D737" s="128"/>
      <c r="E737" s="128"/>
    </row>
    <row r="738">
      <c r="D738" s="128"/>
      <c r="E738" s="128"/>
    </row>
    <row r="739">
      <c r="D739" s="128"/>
      <c r="E739" s="128"/>
    </row>
    <row r="740">
      <c r="D740" s="128"/>
      <c r="E740" s="128"/>
    </row>
    <row r="741">
      <c r="D741" s="128"/>
      <c r="E741" s="128"/>
    </row>
    <row r="742">
      <c r="D742" s="128"/>
      <c r="E742" s="128"/>
    </row>
    <row r="743">
      <c r="D743" s="128"/>
      <c r="E743" s="128"/>
    </row>
    <row r="744">
      <c r="D744" s="128"/>
      <c r="E744" s="128"/>
    </row>
    <row r="745">
      <c r="D745" s="128"/>
      <c r="E745" s="128"/>
    </row>
    <row r="746">
      <c r="D746" s="128"/>
      <c r="E746" s="128"/>
    </row>
    <row r="747">
      <c r="D747" s="128"/>
      <c r="E747" s="128"/>
    </row>
    <row r="748">
      <c r="D748" s="128"/>
      <c r="E748" s="128"/>
    </row>
    <row r="749">
      <c r="D749" s="128"/>
      <c r="E749" s="128"/>
    </row>
    <row r="750">
      <c r="D750" s="128"/>
      <c r="E750" s="128"/>
    </row>
    <row r="751">
      <c r="D751" s="128"/>
      <c r="E751" s="128"/>
    </row>
    <row r="752">
      <c r="D752" s="128"/>
      <c r="E752" s="128"/>
    </row>
    <row r="753">
      <c r="D753" s="128"/>
      <c r="E753" s="128"/>
    </row>
    <row r="754">
      <c r="D754" s="128"/>
      <c r="E754" s="128"/>
    </row>
    <row r="755">
      <c r="D755" s="128"/>
      <c r="E755" s="128"/>
    </row>
    <row r="756">
      <c r="D756" s="128"/>
      <c r="E756" s="128"/>
    </row>
    <row r="757">
      <c r="D757" s="128"/>
      <c r="E757" s="128"/>
    </row>
    <row r="758">
      <c r="D758" s="128"/>
      <c r="E758" s="128"/>
    </row>
    <row r="759">
      <c r="D759" s="128"/>
      <c r="E759" s="128"/>
    </row>
    <row r="760">
      <c r="D760" s="128"/>
      <c r="E760" s="128"/>
    </row>
    <row r="761">
      <c r="D761" s="128"/>
      <c r="E761" s="128"/>
    </row>
    <row r="762">
      <c r="D762" s="128"/>
      <c r="E762" s="128"/>
    </row>
    <row r="763">
      <c r="D763" s="128"/>
      <c r="E763" s="128"/>
    </row>
    <row r="764">
      <c r="D764" s="128"/>
      <c r="E764" s="128"/>
    </row>
    <row r="765">
      <c r="D765" s="128"/>
      <c r="E765" s="128"/>
    </row>
    <row r="766">
      <c r="D766" s="128"/>
      <c r="E766" s="128"/>
    </row>
    <row r="767">
      <c r="D767" s="128"/>
      <c r="E767" s="128"/>
    </row>
    <row r="768">
      <c r="D768" s="128"/>
      <c r="E768" s="128"/>
    </row>
    <row r="769">
      <c r="D769" s="128"/>
      <c r="E769" s="128"/>
    </row>
    <row r="770">
      <c r="D770" s="128"/>
      <c r="E770" s="128"/>
    </row>
    <row r="771">
      <c r="D771" s="128"/>
      <c r="E771" s="128"/>
    </row>
    <row r="772">
      <c r="D772" s="128"/>
      <c r="E772" s="128"/>
    </row>
    <row r="773">
      <c r="D773" s="128"/>
      <c r="E773" s="128"/>
    </row>
    <row r="774">
      <c r="D774" s="128"/>
      <c r="E774" s="128"/>
    </row>
    <row r="775">
      <c r="D775" s="128"/>
      <c r="E775" s="128"/>
    </row>
    <row r="776">
      <c r="D776" s="128"/>
      <c r="E776" s="128"/>
    </row>
    <row r="777">
      <c r="D777" s="128"/>
      <c r="E777" s="128"/>
    </row>
    <row r="778">
      <c r="D778" s="128"/>
      <c r="E778" s="128"/>
    </row>
    <row r="779">
      <c r="D779" s="128"/>
      <c r="E779" s="128"/>
    </row>
    <row r="780">
      <c r="D780" s="128"/>
      <c r="E780" s="128"/>
    </row>
    <row r="781">
      <c r="D781" s="128"/>
      <c r="E781" s="128"/>
    </row>
    <row r="782">
      <c r="D782" s="128"/>
      <c r="E782" s="128"/>
    </row>
    <row r="783">
      <c r="D783" s="128"/>
      <c r="E783" s="128"/>
    </row>
    <row r="784">
      <c r="D784" s="128"/>
      <c r="E784" s="128"/>
    </row>
    <row r="785">
      <c r="D785" s="128"/>
      <c r="E785" s="128"/>
    </row>
    <row r="786">
      <c r="D786" s="128"/>
      <c r="E786" s="128"/>
    </row>
    <row r="787">
      <c r="D787" s="128"/>
      <c r="E787" s="128"/>
    </row>
    <row r="788">
      <c r="D788" s="128"/>
      <c r="E788" s="128"/>
    </row>
    <row r="789">
      <c r="D789" s="128"/>
      <c r="E789" s="128"/>
    </row>
    <row r="790">
      <c r="D790" s="128"/>
      <c r="E790" s="128"/>
    </row>
    <row r="791">
      <c r="D791" s="128"/>
      <c r="E791" s="128"/>
    </row>
    <row r="792">
      <c r="D792" s="128"/>
      <c r="E792" s="128"/>
    </row>
    <row r="793">
      <c r="D793" s="128"/>
      <c r="E793" s="128"/>
    </row>
    <row r="794">
      <c r="D794" s="128"/>
      <c r="E794" s="128"/>
    </row>
    <row r="795">
      <c r="D795" s="128"/>
      <c r="E795" s="128"/>
    </row>
    <row r="796">
      <c r="D796" s="128"/>
      <c r="E796" s="128"/>
    </row>
    <row r="797">
      <c r="D797" s="128"/>
      <c r="E797" s="128"/>
    </row>
    <row r="798">
      <c r="D798" s="128"/>
      <c r="E798" s="128"/>
    </row>
    <row r="799">
      <c r="D799" s="128"/>
      <c r="E799" s="128"/>
    </row>
    <row r="800">
      <c r="D800" s="128"/>
      <c r="E800" s="128"/>
    </row>
    <row r="801">
      <c r="D801" s="128"/>
      <c r="E801" s="128"/>
    </row>
    <row r="802">
      <c r="D802" s="128"/>
      <c r="E802" s="128"/>
    </row>
    <row r="803">
      <c r="D803" s="128"/>
      <c r="E803" s="128"/>
    </row>
    <row r="804">
      <c r="D804" s="128"/>
      <c r="E804" s="128"/>
    </row>
    <row r="805">
      <c r="D805" s="128"/>
      <c r="E805" s="128"/>
    </row>
    <row r="806">
      <c r="D806" s="128"/>
      <c r="E806" s="128"/>
    </row>
    <row r="807">
      <c r="D807" s="128"/>
      <c r="E807" s="128"/>
    </row>
    <row r="808">
      <c r="D808" s="128"/>
      <c r="E808" s="128"/>
    </row>
    <row r="809">
      <c r="D809" s="128"/>
      <c r="E809" s="128"/>
    </row>
    <row r="810">
      <c r="D810" s="128"/>
      <c r="E810" s="128"/>
    </row>
    <row r="811">
      <c r="D811" s="128"/>
      <c r="E811" s="128"/>
    </row>
    <row r="812">
      <c r="D812" s="128"/>
      <c r="E812" s="128"/>
    </row>
    <row r="813">
      <c r="D813" s="128"/>
      <c r="E813" s="128"/>
    </row>
    <row r="814">
      <c r="D814" s="128"/>
      <c r="E814" s="128"/>
    </row>
    <row r="815">
      <c r="D815" s="128"/>
      <c r="E815" s="128"/>
    </row>
    <row r="816">
      <c r="D816" s="128"/>
      <c r="E816" s="128"/>
    </row>
    <row r="817">
      <c r="D817" s="128"/>
      <c r="E817" s="128"/>
    </row>
    <row r="818">
      <c r="D818" s="128"/>
      <c r="E818" s="128"/>
    </row>
    <row r="819">
      <c r="D819" s="128"/>
      <c r="E819" s="128"/>
    </row>
    <row r="820">
      <c r="D820" s="128"/>
      <c r="E820" s="128"/>
    </row>
    <row r="821">
      <c r="D821" s="128"/>
      <c r="E821" s="128"/>
    </row>
    <row r="822">
      <c r="D822" s="128"/>
      <c r="E822" s="128"/>
    </row>
    <row r="823">
      <c r="D823" s="128"/>
      <c r="E823" s="128"/>
    </row>
    <row r="824">
      <c r="D824" s="128"/>
      <c r="E824" s="128"/>
    </row>
    <row r="825">
      <c r="D825" s="128"/>
      <c r="E825" s="128"/>
    </row>
    <row r="826">
      <c r="D826" s="128"/>
      <c r="E826" s="128"/>
    </row>
    <row r="827">
      <c r="D827" s="128"/>
      <c r="E827" s="128"/>
    </row>
    <row r="828">
      <c r="D828" s="128"/>
      <c r="E828" s="128"/>
    </row>
    <row r="829">
      <c r="D829" s="128"/>
      <c r="E829" s="128"/>
    </row>
    <row r="830">
      <c r="D830" s="128"/>
      <c r="E830" s="128"/>
    </row>
    <row r="831">
      <c r="D831" s="128"/>
      <c r="E831" s="128"/>
    </row>
    <row r="832">
      <c r="D832" s="128"/>
      <c r="E832" s="128"/>
    </row>
    <row r="833">
      <c r="D833" s="128"/>
      <c r="E833" s="128"/>
    </row>
    <row r="834">
      <c r="D834" s="128"/>
      <c r="E834" s="128"/>
    </row>
    <row r="835">
      <c r="D835" s="128"/>
      <c r="E835" s="128"/>
    </row>
    <row r="836">
      <c r="D836" s="128"/>
      <c r="E836" s="128"/>
    </row>
    <row r="837">
      <c r="D837" s="128"/>
      <c r="E837" s="128"/>
    </row>
    <row r="838">
      <c r="D838" s="128"/>
      <c r="E838" s="128"/>
    </row>
    <row r="839">
      <c r="D839" s="128"/>
      <c r="E839" s="128"/>
    </row>
    <row r="840">
      <c r="D840" s="128"/>
      <c r="E840" s="128"/>
    </row>
    <row r="841">
      <c r="D841" s="128"/>
      <c r="E841" s="128"/>
    </row>
    <row r="842">
      <c r="D842" s="128"/>
      <c r="E842" s="128"/>
    </row>
    <row r="843">
      <c r="D843" s="128"/>
      <c r="E843" s="128"/>
    </row>
    <row r="844">
      <c r="D844" s="128"/>
      <c r="E844" s="128"/>
    </row>
    <row r="845">
      <c r="D845" s="128"/>
      <c r="E845" s="128"/>
    </row>
    <row r="846">
      <c r="D846" s="128"/>
      <c r="E846" s="128"/>
    </row>
    <row r="847">
      <c r="D847" s="128"/>
      <c r="E847" s="128"/>
    </row>
    <row r="848">
      <c r="D848" s="128"/>
      <c r="E848" s="128"/>
    </row>
    <row r="849">
      <c r="D849" s="128"/>
      <c r="E849" s="128"/>
    </row>
    <row r="850">
      <c r="D850" s="128"/>
      <c r="E850" s="128"/>
    </row>
    <row r="851">
      <c r="D851" s="128"/>
      <c r="E851" s="128"/>
    </row>
    <row r="852">
      <c r="D852" s="128"/>
      <c r="E852" s="128"/>
    </row>
    <row r="853">
      <c r="D853" s="128"/>
      <c r="E853" s="128"/>
    </row>
    <row r="854">
      <c r="D854" s="128"/>
      <c r="E854" s="128"/>
    </row>
    <row r="855">
      <c r="D855" s="128"/>
      <c r="E855" s="128"/>
    </row>
    <row r="856">
      <c r="D856" s="128"/>
      <c r="E856" s="128"/>
    </row>
    <row r="857">
      <c r="D857" s="128"/>
      <c r="E857" s="128"/>
    </row>
    <row r="858">
      <c r="D858" s="128"/>
      <c r="E858" s="128"/>
    </row>
    <row r="859">
      <c r="D859" s="128"/>
      <c r="E859" s="128"/>
    </row>
    <row r="860">
      <c r="D860" s="128"/>
      <c r="E860" s="128"/>
    </row>
    <row r="861">
      <c r="D861" s="128"/>
      <c r="E861" s="128"/>
    </row>
    <row r="862">
      <c r="D862" s="128"/>
      <c r="E862" s="128"/>
    </row>
    <row r="863">
      <c r="D863" s="128"/>
      <c r="E863" s="128"/>
    </row>
    <row r="864">
      <c r="D864" s="128"/>
      <c r="E864" s="128"/>
    </row>
    <row r="865">
      <c r="D865" s="128"/>
      <c r="E865" s="128"/>
    </row>
    <row r="866">
      <c r="D866" s="128"/>
      <c r="E866" s="128"/>
    </row>
    <row r="867">
      <c r="D867" s="128"/>
      <c r="E867" s="128"/>
    </row>
    <row r="868">
      <c r="D868" s="128"/>
      <c r="E868" s="128"/>
    </row>
    <row r="869">
      <c r="D869" s="128"/>
      <c r="E869" s="128"/>
    </row>
    <row r="870">
      <c r="D870" s="128"/>
      <c r="E870" s="128"/>
    </row>
    <row r="871">
      <c r="D871" s="128"/>
      <c r="E871" s="128"/>
    </row>
    <row r="872">
      <c r="D872" s="128"/>
      <c r="E872" s="128"/>
    </row>
    <row r="873">
      <c r="D873" s="128"/>
      <c r="E873" s="128"/>
    </row>
    <row r="874">
      <c r="D874" s="128"/>
      <c r="E874" s="128"/>
    </row>
    <row r="875">
      <c r="D875" s="128"/>
      <c r="E875" s="128"/>
    </row>
    <row r="876">
      <c r="D876" s="128"/>
      <c r="E876" s="128"/>
    </row>
    <row r="877">
      <c r="D877" s="128"/>
      <c r="E877" s="128"/>
    </row>
    <row r="878">
      <c r="D878" s="128"/>
      <c r="E878" s="128"/>
    </row>
    <row r="879">
      <c r="D879" s="128"/>
      <c r="E879" s="128"/>
    </row>
    <row r="880">
      <c r="D880" s="128"/>
      <c r="E880" s="128"/>
    </row>
    <row r="881">
      <c r="D881" s="128"/>
      <c r="E881" s="128"/>
    </row>
    <row r="882">
      <c r="D882" s="128"/>
      <c r="E882" s="128"/>
    </row>
    <row r="883">
      <c r="D883" s="128"/>
      <c r="E883" s="128"/>
    </row>
    <row r="884">
      <c r="D884" s="128"/>
      <c r="E884" s="128"/>
    </row>
    <row r="885">
      <c r="D885" s="128"/>
      <c r="E885" s="128"/>
    </row>
    <row r="886">
      <c r="D886" s="128"/>
      <c r="E886" s="128"/>
    </row>
    <row r="887">
      <c r="D887" s="128"/>
      <c r="E887" s="128"/>
    </row>
    <row r="888">
      <c r="D888" s="128"/>
      <c r="E888" s="128"/>
    </row>
    <row r="889">
      <c r="D889" s="128"/>
      <c r="E889" s="128"/>
    </row>
    <row r="890">
      <c r="D890" s="128"/>
      <c r="E890" s="128"/>
    </row>
    <row r="891">
      <c r="D891" s="128"/>
      <c r="E891" s="128"/>
    </row>
    <row r="892">
      <c r="D892" s="128"/>
      <c r="E892" s="128"/>
    </row>
    <row r="893">
      <c r="D893" s="128"/>
      <c r="E893" s="128"/>
    </row>
    <row r="894">
      <c r="D894" s="128"/>
      <c r="E894" s="128"/>
    </row>
    <row r="895">
      <c r="D895" s="128"/>
      <c r="E895" s="128"/>
    </row>
    <row r="896">
      <c r="D896" s="128"/>
      <c r="E896" s="128"/>
    </row>
    <row r="897">
      <c r="D897" s="128"/>
      <c r="E897" s="128"/>
    </row>
    <row r="898">
      <c r="D898" s="128"/>
      <c r="E898" s="128"/>
    </row>
    <row r="899">
      <c r="D899" s="128"/>
      <c r="E899" s="128"/>
    </row>
    <row r="900">
      <c r="D900" s="128"/>
      <c r="E900" s="128"/>
    </row>
    <row r="901">
      <c r="D901" s="128"/>
      <c r="E901" s="128"/>
    </row>
    <row r="902">
      <c r="D902" s="128"/>
      <c r="E902" s="128"/>
    </row>
    <row r="903">
      <c r="D903" s="128"/>
      <c r="E903" s="128"/>
    </row>
    <row r="904">
      <c r="D904" s="128"/>
      <c r="E904" s="128"/>
    </row>
    <row r="905">
      <c r="D905" s="128"/>
      <c r="E905" s="128"/>
    </row>
    <row r="906">
      <c r="D906" s="128"/>
      <c r="E906" s="128"/>
    </row>
    <row r="907">
      <c r="D907" s="128"/>
      <c r="E907" s="128"/>
    </row>
    <row r="908">
      <c r="D908" s="128"/>
      <c r="E908" s="128"/>
    </row>
    <row r="909">
      <c r="D909" s="128"/>
      <c r="E909" s="128"/>
    </row>
    <row r="910">
      <c r="D910" s="128"/>
      <c r="E910" s="128"/>
    </row>
    <row r="911">
      <c r="D911" s="128"/>
      <c r="E911" s="128"/>
    </row>
    <row r="912">
      <c r="D912" s="128"/>
      <c r="E912" s="128"/>
    </row>
    <row r="913">
      <c r="D913" s="128"/>
      <c r="E913" s="128"/>
    </row>
    <row r="914">
      <c r="D914" s="128"/>
      <c r="E914" s="128"/>
    </row>
    <row r="915">
      <c r="D915" s="128"/>
      <c r="E915" s="128"/>
    </row>
    <row r="916">
      <c r="D916" s="128"/>
      <c r="E916" s="128"/>
    </row>
    <row r="917">
      <c r="D917" s="128"/>
      <c r="E917" s="128"/>
    </row>
    <row r="918">
      <c r="D918" s="128"/>
      <c r="E918" s="128"/>
    </row>
    <row r="919">
      <c r="D919" s="128"/>
      <c r="E919" s="128"/>
    </row>
    <row r="920">
      <c r="D920" s="128"/>
      <c r="E920" s="128"/>
    </row>
    <row r="921">
      <c r="D921" s="128"/>
      <c r="E921" s="128"/>
    </row>
    <row r="922">
      <c r="D922" s="128"/>
      <c r="E922" s="128"/>
    </row>
    <row r="923">
      <c r="D923" s="128"/>
      <c r="E923" s="128"/>
    </row>
    <row r="924">
      <c r="D924" s="128"/>
      <c r="E924" s="128"/>
    </row>
    <row r="925">
      <c r="D925" s="128"/>
      <c r="E925" s="128"/>
    </row>
    <row r="926">
      <c r="D926" s="128"/>
      <c r="E926" s="128"/>
    </row>
    <row r="927">
      <c r="D927" s="128"/>
      <c r="E927" s="128"/>
    </row>
    <row r="928">
      <c r="D928" s="128"/>
      <c r="E928" s="128"/>
    </row>
    <row r="929">
      <c r="D929" s="128"/>
      <c r="E929" s="128"/>
    </row>
    <row r="930">
      <c r="D930" s="128"/>
      <c r="E930" s="128"/>
    </row>
    <row r="931">
      <c r="D931" s="128"/>
      <c r="E931" s="128"/>
    </row>
    <row r="932">
      <c r="D932" s="128"/>
      <c r="E932" s="128"/>
    </row>
    <row r="933">
      <c r="D933" s="128"/>
      <c r="E933" s="128"/>
    </row>
    <row r="934">
      <c r="D934" s="128"/>
      <c r="E934" s="128"/>
    </row>
    <row r="935">
      <c r="D935" s="128"/>
      <c r="E935" s="128"/>
    </row>
    <row r="936">
      <c r="D936" s="128"/>
      <c r="E936" s="128"/>
    </row>
    <row r="937">
      <c r="D937" s="128"/>
      <c r="E937" s="128"/>
    </row>
    <row r="938">
      <c r="D938" s="128"/>
      <c r="E938" s="128"/>
    </row>
    <row r="939">
      <c r="D939" s="128"/>
      <c r="E939" s="128"/>
    </row>
    <row r="940">
      <c r="D940" s="128"/>
      <c r="E940" s="128"/>
    </row>
    <row r="941">
      <c r="D941" s="128"/>
      <c r="E941" s="128"/>
    </row>
    <row r="942">
      <c r="D942" s="128"/>
      <c r="E942" s="128"/>
    </row>
    <row r="943">
      <c r="D943" s="128"/>
      <c r="E943" s="128"/>
    </row>
    <row r="944">
      <c r="D944" s="128"/>
      <c r="E944" s="128"/>
    </row>
    <row r="945">
      <c r="D945" s="128"/>
      <c r="E945" s="128"/>
    </row>
    <row r="946">
      <c r="D946" s="128"/>
      <c r="E946" s="128"/>
    </row>
    <row r="947">
      <c r="D947" s="128"/>
      <c r="E947" s="128"/>
    </row>
    <row r="948">
      <c r="D948" s="128"/>
      <c r="E948" s="128"/>
    </row>
    <row r="949">
      <c r="D949" s="128"/>
      <c r="E949" s="128"/>
    </row>
    <row r="950">
      <c r="D950" s="128"/>
      <c r="E950" s="128"/>
    </row>
    <row r="951">
      <c r="D951" s="128"/>
      <c r="E951" s="128"/>
    </row>
    <row r="952">
      <c r="D952" s="128"/>
      <c r="E952" s="128"/>
    </row>
    <row r="953">
      <c r="D953" s="128"/>
      <c r="E953" s="128"/>
    </row>
    <row r="954">
      <c r="D954" s="128"/>
      <c r="E954" s="128"/>
    </row>
    <row r="955">
      <c r="D955" s="128"/>
      <c r="E955" s="128"/>
    </row>
    <row r="956">
      <c r="D956" s="128"/>
      <c r="E956" s="128"/>
    </row>
    <row r="957">
      <c r="D957" s="128"/>
      <c r="E957" s="128"/>
    </row>
    <row r="958">
      <c r="D958" s="128"/>
      <c r="E958" s="128"/>
    </row>
    <row r="959">
      <c r="D959" s="128"/>
      <c r="E959" s="128"/>
    </row>
    <row r="960">
      <c r="D960" s="128"/>
      <c r="E960" s="128"/>
    </row>
    <row r="961">
      <c r="D961" s="128"/>
      <c r="E961" s="128"/>
    </row>
    <row r="962">
      <c r="D962" s="128"/>
      <c r="E962" s="128"/>
    </row>
    <row r="963">
      <c r="D963" s="128"/>
      <c r="E963" s="128"/>
    </row>
    <row r="964">
      <c r="D964" s="128"/>
      <c r="E964" s="128"/>
    </row>
    <row r="965">
      <c r="D965" s="128"/>
      <c r="E965" s="128"/>
    </row>
    <row r="966">
      <c r="D966" s="128"/>
      <c r="E966" s="128"/>
    </row>
    <row r="967">
      <c r="D967" s="128"/>
      <c r="E967" s="128"/>
    </row>
    <row r="968">
      <c r="D968" s="128"/>
      <c r="E968" s="128"/>
    </row>
    <row r="969">
      <c r="D969" s="128"/>
      <c r="E969" s="128"/>
    </row>
    <row r="970">
      <c r="D970" s="128"/>
      <c r="E970" s="128"/>
    </row>
    <row r="971">
      <c r="D971" s="128"/>
      <c r="E971" s="128"/>
    </row>
    <row r="972">
      <c r="D972" s="128"/>
      <c r="E972" s="128"/>
    </row>
    <row r="973">
      <c r="D973" s="128"/>
      <c r="E973" s="128"/>
    </row>
    <row r="974">
      <c r="D974" s="128"/>
      <c r="E974" s="128"/>
    </row>
    <row r="975">
      <c r="D975" s="128"/>
      <c r="E975" s="128"/>
    </row>
    <row r="976">
      <c r="D976" s="128"/>
      <c r="E976" s="128"/>
    </row>
    <row r="977">
      <c r="D977" s="128"/>
      <c r="E977" s="128"/>
    </row>
    <row r="978">
      <c r="D978" s="128"/>
      <c r="E978" s="128"/>
    </row>
    <row r="979">
      <c r="D979" s="128"/>
      <c r="E979" s="128"/>
    </row>
    <row r="980">
      <c r="D980" s="128"/>
      <c r="E980" s="128"/>
    </row>
    <row r="981">
      <c r="D981" s="128"/>
      <c r="E981" s="128"/>
    </row>
    <row r="982">
      <c r="D982" s="128"/>
      <c r="E982" s="128"/>
    </row>
    <row r="983">
      <c r="D983" s="128"/>
      <c r="E983" s="128"/>
    </row>
    <row r="984">
      <c r="D984" s="128"/>
      <c r="E984" s="128"/>
    </row>
    <row r="985">
      <c r="D985" s="128"/>
      <c r="E985" s="128"/>
    </row>
    <row r="986">
      <c r="D986" s="128"/>
      <c r="E986" s="128"/>
    </row>
    <row r="987">
      <c r="D987" s="128"/>
      <c r="E987" s="128"/>
    </row>
    <row r="988">
      <c r="D988" s="128"/>
      <c r="E988" s="128"/>
    </row>
    <row r="989">
      <c r="D989" s="128"/>
      <c r="E989" s="128"/>
    </row>
    <row r="990">
      <c r="D990" s="128"/>
      <c r="E990" s="128"/>
    </row>
    <row r="991">
      <c r="D991" s="128"/>
      <c r="E991" s="128"/>
    </row>
    <row r="992">
      <c r="D992" s="128"/>
      <c r="E992" s="128"/>
    </row>
    <row r="993">
      <c r="D993" s="128"/>
      <c r="E993" s="128"/>
    </row>
    <row r="994">
      <c r="D994" s="128"/>
      <c r="E994" s="128"/>
    </row>
    <row r="995">
      <c r="D995" s="128"/>
      <c r="E995" s="128"/>
    </row>
    <row r="996">
      <c r="D996" s="128"/>
      <c r="E996" s="128"/>
    </row>
    <row r="997">
      <c r="D997" s="128"/>
      <c r="E997" s="128"/>
    </row>
    <row r="998">
      <c r="D998" s="128"/>
      <c r="E998" s="128"/>
    </row>
    <row r="999">
      <c r="D999" s="128"/>
      <c r="E999" s="128"/>
    </row>
    <row r="1000">
      <c r="D1000" s="128"/>
      <c r="E1000" s="128"/>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18.0"/>
    <col customWidth="1" min="3" max="3" width="7.13"/>
    <col customWidth="1" min="4" max="4" width="18.13"/>
    <col customWidth="1" min="5" max="5" width="16.63"/>
    <col customWidth="1" min="6" max="6" width="9.0"/>
    <col customWidth="1" min="7" max="7" width="10.38"/>
    <col customWidth="1" min="8" max="8" width="11.75"/>
    <col customWidth="1" min="9" max="9" width="9.88"/>
    <col customWidth="1" min="10" max="10" width="9.25"/>
    <col customWidth="1" min="15" max="15" width="28.38"/>
    <col customWidth="1" min="16" max="16" width="23.13"/>
    <col customWidth="1" min="17" max="17" width="9.88"/>
  </cols>
  <sheetData>
    <row r="1">
      <c r="A1" s="1" t="s">
        <v>2174</v>
      </c>
      <c r="B1" s="2" t="s">
        <v>2175</v>
      </c>
      <c r="C1" s="2" t="s">
        <v>2176</v>
      </c>
      <c r="D1" s="84" t="s">
        <v>2177</v>
      </c>
      <c r="E1" s="2" t="s">
        <v>2178</v>
      </c>
      <c r="F1" s="2"/>
      <c r="G1" s="2"/>
      <c r="H1" s="1"/>
      <c r="I1" s="1"/>
      <c r="J1" s="1"/>
      <c r="K1" s="1"/>
      <c r="L1" s="1"/>
      <c r="M1" s="1"/>
      <c r="N1" s="1"/>
      <c r="O1" s="1"/>
      <c r="P1" s="1"/>
      <c r="Q1" s="1"/>
      <c r="R1" s="42"/>
    </row>
    <row r="2" ht="16.5" customHeight="1">
      <c r="A2" s="85" t="s">
        <v>2179</v>
      </c>
      <c r="B2" s="11" t="s">
        <v>2180</v>
      </c>
      <c r="C2" s="86" t="b">
        <v>0</v>
      </c>
      <c r="D2" s="87" t="s">
        <v>2181</v>
      </c>
      <c r="E2" s="11" t="s">
        <v>2182</v>
      </c>
      <c r="F2" s="11"/>
      <c r="G2" s="11"/>
      <c r="H2" s="11"/>
      <c r="I2" s="11"/>
      <c r="J2" s="11"/>
      <c r="K2" s="11"/>
      <c r="L2" s="11"/>
      <c r="M2" s="11"/>
      <c r="N2" s="11"/>
      <c r="O2" s="88"/>
      <c r="P2" s="88"/>
      <c r="Q2" s="89"/>
      <c r="R2" s="42" t="s">
        <v>162</v>
      </c>
    </row>
    <row r="3" ht="16.5" customHeight="1">
      <c r="A3" s="85" t="s">
        <v>2183</v>
      </c>
      <c r="B3" s="11" t="s">
        <v>845</v>
      </c>
      <c r="C3" s="86" t="b">
        <v>0</v>
      </c>
      <c r="D3" s="87" t="s">
        <v>2184</v>
      </c>
      <c r="E3" s="11" t="s">
        <v>2182</v>
      </c>
      <c r="F3" s="14"/>
      <c r="G3" s="14"/>
      <c r="H3" s="11"/>
      <c r="I3" s="14"/>
      <c r="J3" s="14"/>
      <c r="K3" s="14"/>
      <c r="L3" s="14"/>
      <c r="M3" s="14"/>
      <c r="N3" s="14"/>
      <c r="O3" s="90"/>
      <c r="P3" s="88"/>
      <c r="Q3" s="89"/>
      <c r="R3" s="42" t="s">
        <v>162</v>
      </c>
    </row>
    <row r="4" ht="16.5" customHeight="1">
      <c r="A4" s="85" t="s">
        <v>2185</v>
      </c>
      <c r="B4" s="11" t="s">
        <v>2180</v>
      </c>
      <c r="C4" s="86" t="b">
        <v>0</v>
      </c>
      <c r="D4" s="87" t="s">
        <v>2186</v>
      </c>
      <c r="E4" s="11" t="s">
        <v>2182</v>
      </c>
      <c r="F4" s="14"/>
      <c r="G4" s="14"/>
      <c r="H4" s="11"/>
      <c r="I4" s="14"/>
      <c r="J4" s="14"/>
      <c r="K4" s="14"/>
      <c r="L4" s="14"/>
      <c r="M4" s="14"/>
      <c r="N4" s="14"/>
      <c r="O4" s="88"/>
      <c r="P4" s="88"/>
      <c r="Q4" s="89"/>
      <c r="R4" s="42" t="s">
        <v>162</v>
      </c>
    </row>
    <row r="5" ht="16.5" customHeight="1">
      <c r="A5" s="85" t="s">
        <v>2187</v>
      </c>
      <c r="B5" s="11" t="s">
        <v>845</v>
      </c>
      <c r="C5" s="86" t="b">
        <v>0</v>
      </c>
      <c r="D5" s="87"/>
      <c r="E5" s="11" t="s">
        <v>2182</v>
      </c>
      <c r="F5" s="14"/>
      <c r="G5" s="14"/>
      <c r="H5" s="11"/>
      <c r="I5" s="14"/>
      <c r="J5" s="14"/>
      <c r="K5" s="14"/>
      <c r="L5" s="14"/>
      <c r="M5" s="14"/>
      <c r="N5" s="14"/>
      <c r="O5" s="88"/>
      <c r="P5" s="88"/>
      <c r="Q5" s="89"/>
      <c r="R5" s="42" t="s">
        <v>162</v>
      </c>
    </row>
    <row r="6" ht="16.5" customHeight="1">
      <c r="A6" s="85" t="s">
        <v>2188</v>
      </c>
      <c r="B6" s="11" t="s">
        <v>2189</v>
      </c>
      <c r="C6" s="86" t="b">
        <v>0</v>
      </c>
      <c r="D6" s="87" t="s">
        <v>2190</v>
      </c>
      <c r="E6" s="11" t="s">
        <v>2182</v>
      </c>
      <c r="F6" s="14"/>
      <c r="G6" s="14"/>
      <c r="H6" s="11"/>
      <c r="I6" s="33"/>
      <c r="J6" s="33"/>
      <c r="K6" s="33"/>
      <c r="L6" s="33"/>
      <c r="M6" s="33"/>
      <c r="N6" s="14"/>
      <c r="O6" s="88"/>
      <c r="P6" s="88"/>
      <c r="Q6" s="89"/>
      <c r="R6" s="42" t="s">
        <v>162</v>
      </c>
    </row>
    <row r="7" ht="16.5" customHeight="1">
      <c r="A7" s="85" t="s">
        <v>2191</v>
      </c>
      <c r="B7" s="11" t="s">
        <v>845</v>
      </c>
      <c r="C7" s="86" t="b">
        <v>0</v>
      </c>
      <c r="D7" s="87"/>
      <c r="E7" s="11" t="s">
        <v>2182</v>
      </c>
      <c r="F7" s="14"/>
      <c r="G7" s="14"/>
      <c r="H7" s="11"/>
      <c r="I7" s="14"/>
      <c r="J7" s="14"/>
      <c r="K7" s="14"/>
      <c r="L7" s="14"/>
      <c r="M7" s="14"/>
      <c r="N7" s="14"/>
      <c r="O7" s="88"/>
      <c r="P7" s="88"/>
      <c r="Q7" s="89"/>
      <c r="R7" s="42" t="s">
        <v>162</v>
      </c>
    </row>
    <row r="8" ht="16.5" customHeight="1">
      <c r="A8" s="85" t="s">
        <v>2192</v>
      </c>
      <c r="B8" s="11" t="s">
        <v>2189</v>
      </c>
      <c r="C8" s="86" t="b">
        <v>0</v>
      </c>
      <c r="D8" s="87" t="s">
        <v>2193</v>
      </c>
      <c r="E8" s="11" t="s">
        <v>2182</v>
      </c>
      <c r="F8" s="14"/>
      <c r="G8" s="14"/>
      <c r="H8" s="11"/>
      <c r="I8" s="14"/>
      <c r="J8" s="14"/>
      <c r="K8" s="14"/>
      <c r="L8" s="14"/>
      <c r="M8" s="14"/>
      <c r="N8" s="14"/>
      <c r="O8" s="88"/>
      <c r="P8" s="88"/>
      <c r="Q8" s="89"/>
      <c r="R8" s="42" t="s">
        <v>162</v>
      </c>
    </row>
    <row r="9" ht="16.5" customHeight="1">
      <c r="A9" s="85" t="s">
        <v>2194</v>
      </c>
      <c r="B9" s="11" t="s">
        <v>845</v>
      </c>
      <c r="C9" s="86" t="b">
        <v>0</v>
      </c>
      <c r="D9" s="87"/>
      <c r="E9" s="11" t="s">
        <v>2182</v>
      </c>
      <c r="F9" s="14"/>
      <c r="G9" s="14"/>
      <c r="H9" s="11"/>
      <c r="I9" s="14"/>
      <c r="J9" s="14"/>
      <c r="K9" s="14"/>
      <c r="L9" s="14"/>
      <c r="M9" s="14"/>
      <c r="N9" s="14"/>
      <c r="O9" s="88"/>
      <c r="P9" s="88"/>
      <c r="Q9" s="89"/>
      <c r="R9" s="42" t="s">
        <v>162</v>
      </c>
    </row>
    <row r="10" ht="16.5" customHeight="1">
      <c r="A10" s="85" t="s">
        <v>2195</v>
      </c>
      <c r="B10" s="11" t="s">
        <v>2189</v>
      </c>
      <c r="C10" s="86" t="b">
        <v>0</v>
      </c>
      <c r="D10" s="87"/>
      <c r="E10" s="11" t="s">
        <v>193</v>
      </c>
      <c r="F10" s="14"/>
      <c r="G10" s="14"/>
      <c r="H10" s="11"/>
      <c r="I10" s="14"/>
      <c r="J10" s="14"/>
      <c r="K10" s="14"/>
      <c r="L10" s="14"/>
      <c r="M10" s="14"/>
      <c r="N10" s="14"/>
      <c r="O10" s="88"/>
      <c r="P10" s="88"/>
      <c r="Q10" s="89"/>
      <c r="R10" s="42" t="s">
        <v>162</v>
      </c>
    </row>
    <row r="11" ht="16.5" customHeight="1">
      <c r="A11" s="85" t="s">
        <v>2196</v>
      </c>
      <c r="B11" s="11" t="s">
        <v>845</v>
      </c>
      <c r="C11" s="86" t="b">
        <v>0</v>
      </c>
      <c r="D11" s="87" t="s">
        <v>2197</v>
      </c>
      <c r="E11" s="11" t="s">
        <v>523</v>
      </c>
      <c r="F11" s="14"/>
      <c r="G11" s="14"/>
      <c r="H11" s="11"/>
      <c r="I11" s="14"/>
      <c r="J11" s="14"/>
      <c r="K11" s="14"/>
      <c r="L11" s="14"/>
      <c r="M11" s="14"/>
      <c r="N11" s="14"/>
      <c r="O11" s="88"/>
      <c r="P11" s="88"/>
      <c r="Q11" s="89"/>
      <c r="R11" s="42" t="s">
        <v>162</v>
      </c>
    </row>
    <row r="12" ht="16.5" customHeight="1">
      <c r="A12" s="85" t="s">
        <v>2198</v>
      </c>
      <c r="B12" s="11" t="s">
        <v>845</v>
      </c>
      <c r="C12" s="86" t="b">
        <v>0</v>
      </c>
      <c r="D12" s="87" t="s">
        <v>2199</v>
      </c>
      <c r="E12" s="11" t="s">
        <v>2182</v>
      </c>
      <c r="F12" s="14"/>
      <c r="G12" s="14"/>
      <c r="H12" s="11"/>
      <c r="I12" s="14"/>
      <c r="J12" s="14"/>
      <c r="K12" s="14"/>
      <c r="L12" s="14"/>
      <c r="M12" s="14"/>
      <c r="N12" s="14"/>
      <c r="O12" s="88"/>
      <c r="P12" s="88"/>
      <c r="Q12" s="89"/>
      <c r="R12" s="42" t="s">
        <v>162</v>
      </c>
    </row>
    <row r="13" ht="16.5" customHeight="1">
      <c r="A13" s="85" t="s">
        <v>2200</v>
      </c>
      <c r="B13" s="11" t="s">
        <v>2189</v>
      </c>
      <c r="C13" s="86" t="b">
        <v>0</v>
      </c>
      <c r="D13" s="87" t="s">
        <v>2201</v>
      </c>
      <c r="E13" s="11" t="s">
        <v>2182</v>
      </c>
      <c r="F13" s="14"/>
      <c r="G13" s="14"/>
      <c r="H13" s="11"/>
      <c r="I13" s="14"/>
      <c r="J13" s="14"/>
      <c r="K13" s="14"/>
      <c r="L13" s="14"/>
      <c r="M13" s="14"/>
      <c r="N13" s="14"/>
      <c r="O13" s="88"/>
      <c r="P13" s="88"/>
      <c r="Q13" s="89"/>
      <c r="R13" s="42" t="s">
        <v>162</v>
      </c>
    </row>
    <row r="14" ht="16.5" customHeight="1">
      <c r="A14" s="85" t="s">
        <v>2202</v>
      </c>
      <c r="B14" s="11" t="s">
        <v>2203</v>
      </c>
      <c r="C14" s="86" t="b">
        <v>0</v>
      </c>
      <c r="D14" s="87" t="s">
        <v>2204</v>
      </c>
      <c r="E14" s="11" t="s">
        <v>193</v>
      </c>
      <c r="F14" s="14"/>
      <c r="G14" s="14"/>
      <c r="H14" s="11"/>
      <c r="I14" s="14"/>
      <c r="J14" s="14"/>
      <c r="K14" s="14"/>
      <c r="L14" s="14"/>
      <c r="M14" s="14"/>
      <c r="N14" s="14"/>
      <c r="O14" s="88"/>
      <c r="P14" s="88"/>
      <c r="Q14" s="89"/>
      <c r="R14" s="42" t="s">
        <v>162</v>
      </c>
    </row>
    <row r="15" ht="16.5" customHeight="1">
      <c r="A15" s="85" t="s">
        <v>2205</v>
      </c>
      <c r="B15" s="11" t="s">
        <v>2189</v>
      </c>
      <c r="C15" s="86" t="b">
        <v>0</v>
      </c>
      <c r="D15" s="87" t="s">
        <v>2206</v>
      </c>
      <c r="E15" s="11" t="s">
        <v>2182</v>
      </c>
      <c r="F15" s="14"/>
      <c r="G15" s="14"/>
      <c r="H15" s="11"/>
      <c r="I15" s="14"/>
      <c r="J15" s="14"/>
      <c r="K15" s="14"/>
      <c r="L15" s="14"/>
      <c r="M15" s="14"/>
      <c r="N15" s="14"/>
      <c r="O15" s="88"/>
      <c r="P15" s="88"/>
      <c r="Q15" s="89"/>
      <c r="R15" s="42" t="s">
        <v>162</v>
      </c>
    </row>
    <row r="16" ht="16.5" customHeight="1">
      <c r="A16" s="85" t="s">
        <v>2207</v>
      </c>
      <c r="B16" s="11" t="s">
        <v>2203</v>
      </c>
      <c r="C16" s="86" t="b">
        <v>0</v>
      </c>
      <c r="D16" s="87" t="s">
        <v>2208</v>
      </c>
      <c r="E16" s="11" t="s">
        <v>193</v>
      </c>
      <c r="F16" s="14"/>
      <c r="G16" s="14"/>
      <c r="H16" s="11"/>
      <c r="I16" s="14"/>
      <c r="J16" s="14"/>
      <c r="K16" s="14"/>
      <c r="L16" s="14"/>
      <c r="M16" s="14"/>
      <c r="N16" s="14"/>
      <c r="O16" s="88"/>
      <c r="P16" s="88"/>
      <c r="Q16" s="89"/>
      <c r="R16" s="42" t="s">
        <v>162</v>
      </c>
    </row>
    <row r="17" ht="16.5" customHeight="1">
      <c r="A17" s="85" t="s">
        <v>2209</v>
      </c>
      <c r="B17" s="11" t="s">
        <v>845</v>
      </c>
      <c r="C17" s="86" t="b">
        <v>0</v>
      </c>
      <c r="D17" s="87" t="s">
        <v>2210</v>
      </c>
      <c r="E17" s="11" t="s">
        <v>2182</v>
      </c>
      <c r="F17" s="14"/>
      <c r="G17" s="14"/>
      <c r="H17" s="11"/>
      <c r="I17" s="14"/>
      <c r="J17" s="14"/>
      <c r="K17" s="14"/>
      <c r="L17" s="14"/>
      <c r="M17" s="14"/>
      <c r="N17" s="14"/>
      <c r="O17" s="88"/>
      <c r="P17" s="88"/>
      <c r="Q17" s="89"/>
      <c r="R17" s="42" t="s">
        <v>162</v>
      </c>
    </row>
    <row r="18" ht="16.5" customHeight="1">
      <c r="A18" s="85" t="s">
        <v>2211</v>
      </c>
      <c r="B18" s="11" t="s">
        <v>2189</v>
      </c>
      <c r="C18" s="86" t="b">
        <v>0</v>
      </c>
      <c r="D18" s="87" t="s">
        <v>2212</v>
      </c>
      <c r="E18" s="11" t="s">
        <v>2182</v>
      </c>
      <c r="F18" s="14"/>
      <c r="G18" s="14"/>
      <c r="H18" s="11"/>
      <c r="I18" s="14"/>
      <c r="J18" s="14"/>
      <c r="K18" s="14"/>
      <c r="L18" s="14"/>
      <c r="M18" s="14"/>
      <c r="N18" s="14"/>
      <c r="O18" s="88"/>
      <c r="P18" s="88"/>
      <c r="Q18" s="89"/>
      <c r="R18" s="42" t="s">
        <v>162</v>
      </c>
    </row>
    <row r="19" ht="16.5" customHeight="1">
      <c r="A19" s="85" t="s">
        <v>2213</v>
      </c>
      <c r="B19" s="11" t="s">
        <v>2203</v>
      </c>
      <c r="C19" s="86" t="b">
        <v>0</v>
      </c>
      <c r="D19" s="87" t="s">
        <v>2214</v>
      </c>
      <c r="E19" s="11" t="s">
        <v>193</v>
      </c>
      <c r="F19" s="14"/>
      <c r="G19" s="14"/>
      <c r="H19" s="11"/>
      <c r="I19" s="14"/>
      <c r="J19" s="14"/>
      <c r="K19" s="14"/>
      <c r="L19" s="14"/>
      <c r="M19" s="14"/>
      <c r="N19" s="33"/>
      <c r="O19" s="88"/>
      <c r="P19" s="88"/>
      <c r="Q19" s="89"/>
      <c r="R19" s="42" t="s">
        <v>162</v>
      </c>
    </row>
    <row r="20" ht="16.5" customHeight="1">
      <c r="A20" s="85" t="s">
        <v>2215</v>
      </c>
      <c r="B20" s="11" t="s">
        <v>2216</v>
      </c>
      <c r="C20" s="86" t="b">
        <v>0</v>
      </c>
      <c r="D20" s="87" t="s">
        <v>2217</v>
      </c>
      <c r="E20" s="11" t="s">
        <v>193</v>
      </c>
      <c r="F20" s="14"/>
      <c r="G20" s="14"/>
      <c r="H20" s="11"/>
      <c r="I20" s="14"/>
      <c r="J20" s="14"/>
      <c r="K20" s="14"/>
      <c r="L20" s="14"/>
      <c r="M20" s="14"/>
      <c r="N20" s="14"/>
      <c r="O20" s="88"/>
      <c r="P20" s="88"/>
      <c r="Q20" s="89"/>
      <c r="R20" s="42" t="s">
        <v>162</v>
      </c>
    </row>
    <row r="21" ht="16.5" customHeight="1">
      <c r="A21" s="85" t="s">
        <v>2218</v>
      </c>
      <c r="B21" s="11" t="s">
        <v>845</v>
      </c>
      <c r="C21" s="86" t="b">
        <v>0</v>
      </c>
      <c r="D21" s="87" t="s">
        <v>2219</v>
      </c>
      <c r="E21" s="11" t="s">
        <v>523</v>
      </c>
      <c r="F21" s="14"/>
      <c r="G21" s="14"/>
      <c r="H21" s="11"/>
      <c r="I21" s="14"/>
      <c r="J21" s="14"/>
      <c r="K21" s="14"/>
      <c r="L21" s="14"/>
      <c r="M21" s="14"/>
      <c r="N21" s="14"/>
      <c r="O21" s="88"/>
      <c r="P21" s="88"/>
      <c r="Q21" s="89"/>
      <c r="R21" s="42" t="s">
        <v>162</v>
      </c>
    </row>
    <row r="22" ht="16.5" customHeight="1">
      <c r="A22" s="85" t="s">
        <v>2220</v>
      </c>
      <c r="B22" s="11" t="s">
        <v>2203</v>
      </c>
      <c r="C22" s="86" t="b">
        <v>0</v>
      </c>
      <c r="D22" s="87" t="s">
        <v>2221</v>
      </c>
      <c r="E22" s="11" t="s">
        <v>193</v>
      </c>
      <c r="F22" s="14"/>
      <c r="G22" s="14"/>
      <c r="H22" s="11"/>
      <c r="I22" s="14"/>
      <c r="J22" s="14"/>
      <c r="K22" s="14"/>
      <c r="L22" s="14"/>
      <c r="M22" s="14"/>
      <c r="N22" s="14"/>
      <c r="O22" s="88"/>
      <c r="P22" s="88"/>
      <c r="Q22" s="89"/>
      <c r="R22" s="42" t="s">
        <v>162</v>
      </c>
    </row>
    <row r="23" ht="16.5" customHeight="1">
      <c r="A23" s="85" t="s">
        <v>2222</v>
      </c>
      <c r="B23" s="11" t="s">
        <v>2189</v>
      </c>
      <c r="C23" s="86" t="b">
        <v>0</v>
      </c>
      <c r="D23" s="87" t="s">
        <v>2223</v>
      </c>
      <c r="E23" s="11" t="s">
        <v>2182</v>
      </c>
      <c r="F23" s="14"/>
      <c r="G23" s="14"/>
      <c r="H23" s="11"/>
      <c r="I23" s="14"/>
      <c r="J23" s="14"/>
      <c r="K23" s="14"/>
      <c r="L23" s="14"/>
      <c r="M23" s="14"/>
      <c r="N23" s="14"/>
      <c r="O23" s="88"/>
      <c r="P23" s="88"/>
      <c r="Q23" s="89"/>
      <c r="R23" s="42" t="s">
        <v>162</v>
      </c>
    </row>
    <row r="24" ht="16.5" customHeight="1">
      <c r="A24" s="85" t="s">
        <v>2224</v>
      </c>
      <c r="B24" s="11" t="s">
        <v>845</v>
      </c>
      <c r="C24" s="86" t="b">
        <v>0</v>
      </c>
      <c r="D24" s="87"/>
      <c r="E24" s="11" t="s">
        <v>2182</v>
      </c>
      <c r="F24" s="14"/>
      <c r="G24" s="14"/>
      <c r="H24" s="11"/>
      <c r="I24" s="14"/>
      <c r="J24" s="14"/>
      <c r="K24" s="14"/>
      <c r="L24" s="14"/>
      <c r="M24" s="14"/>
      <c r="N24" s="14"/>
      <c r="O24" s="88"/>
      <c r="P24" s="88"/>
      <c r="Q24" s="89"/>
      <c r="R24" s="42" t="s">
        <v>162</v>
      </c>
    </row>
    <row r="25" ht="16.5" customHeight="1">
      <c r="A25" s="85" t="s">
        <v>1012</v>
      </c>
      <c r="B25" s="11" t="s">
        <v>845</v>
      </c>
      <c r="C25" s="86" t="b">
        <v>0</v>
      </c>
      <c r="D25" s="87" t="s">
        <v>2184</v>
      </c>
      <c r="E25" s="11" t="s">
        <v>2182</v>
      </c>
      <c r="F25" s="14"/>
      <c r="G25" s="14"/>
      <c r="H25" s="11"/>
      <c r="I25" s="14"/>
      <c r="J25" s="14"/>
      <c r="K25" s="14"/>
      <c r="L25" s="14"/>
      <c r="M25" s="14"/>
      <c r="N25" s="14"/>
      <c r="O25" s="88"/>
      <c r="P25" s="88"/>
      <c r="Q25" s="89"/>
      <c r="R25" s="42" t="s">
        <v>162</v>
      </c>
    </row>
    <row r="26" ht="16.5" customHeight="1">
      <c r="A26" s="85" t="s">
        <v>2225</v>
      </c>
      <c r="B26" s="11" t="s">
        <v>2189</v>
      </c>
      <c r="C26" s="86" t="b">
        <v>1</v>
      </c>
      <c r="D26" s="87" t="s">
        <v>2186</v>
      </c>
      <c r="E26" s="11" t="s">
        <v>2182</v>
      </c>
      <c r="F26" s="14"/>
      <c r="G26" s="14"/>
      <c r="H26" s="11"/>
      <c r="I26" s="14"/>
      <c r="J26" s="14"/>
      <c r="K26" s="14"/>
      <c r="L26" s="14"/>
      <c r="M26" s="14"/>
      <c r="N26" s="14"/>
      <c r="O26" s="88"/>
      <c r="P26" s="88"/>
      <c r="Q26" s="89"/>
      <c r="R26" s="42" t="s">
        <v>162</v>
      </c>
    </row>
    <row r="27" ht="16.5" customHeight="1">
      <c r="A27" s="85" t="s">
        <v>2226</v>
      </c>
      <c r="B27" s="11" t="s">
        <v>2189</v>
      </c>
      <c r="C27" s="86" t="b">
        <v>0</v>
      </c>
      <c r="D27" s="87"/>
      <c r="E27" s="11" t="s">
        <v>2182</v>
      </c>
      <c r="F27" s="14"/>
      <c r="G27" s="14"/>
      <c r="H27" s="11"/>
      <c r="I27" s="14"/>
      <c r="J27" s="14"/>
      <c r="K27" s="14"/>
      <c r="L27" s="14"/>
      <c r="M27" s="14"/>
      <c r="N27" s="14"/>
      <c r="O27" s="88"/>
      <c r="P27" s="88"/>
      <c r="Q27" s="89"/>
      <c r="R27" s="42" t="s">
        <v>162</v>
      </c>
    </row>
    <row r="28" ht="16.5" customHeight="1">
      <c r="A28" s="85" t="s">
        <v>2227</v>
      </c>
      <c r="B28" s="11" t="s">
        <v>845</v>
      </c>
      <c r="C28" s="86" t="b">
        <v>0</v>
      </c>
      <c r="D28" s="87"/>
      <c r="E28" s="11" t="s">
        <v>2182</v>
      </c>
      <c r="F28" s="14"/>
      <c r="G28" s="14"/>
      <c r="H28" s="11"/>
      <c r="I28" s="14"/>
      <c r="J28" s="14"/>
      <c r="K28" s="14"/>
      <c r="L28" s="14"/>
      <c r="M28" s="14"/>
      <c r="N28" s="14"/>
      <c r="O28" s="88"/>
      <c r="P28" s="88"/>
      <c r="Q28" s="89"/>
      <c r="R28" s="42" t="s">
        <v>162</v>
      </c>
    </row>
    <row r="29" ht="16.5" customHeight="1">
      <c r="A29" s="85" t="s">
        <v>876</v>
      </c>
      <c r="B29" s="11" t="s">
        <v>2189</v>
      </c>
      <c r="C29" s="86" t="b">
        <v>1</v>
      </c>
      <c r="D29" s="87" t="s">
        <v>2190</v>
      </c>
      <c r="E29" s="11" t="s">
        <v>2182</v>
      </c>
      <c r="F29" s="14"/>
      <c r="G29" s="14"/>
      <c r="H29" s="11"/>
      <c r="I29" s="14"/>
      <c r="J29" s="14"/>
      <c r="K29" s="14"/>
      <c r="L29" s="14"/>
      <c r="M29" s="14"/>
      <c r="N29" s="14"/>
      <c r="O29" s="88"/>
      <c r="P29" s="88"/>
      <c r="Q29" s="89"/>
      <c r="R29" s="42" t="s">
        <v>162</v>
      </c>
    </row>
    <row r="30" ht="16.5" customHeight="1">
      <c r="A30" s="85" t="s">
        <v>2228</v>
      </c>
      <c r="B30" s="11" t="s">
        <v>2229</v>
      </c>
      <c r="C30" s="86" t="b">
        <v>0</v>
      </c>
      <c r="D30" s="87"/>
      <c r="E30" s="11" t="s">
        <v>2182</v>
      </c>
      <c r="F30" s="14"/>
      <c r="G30" s="14"/>
      <c r="H30" s="11"/>
      <c r="I30" s="14"/>
      <c r="J30" s="14"/>
      <c r="K30" s="14"/>
      <c r="L30" s="14"/>
      <c r="M30" s="14"/>
      <c r="N30" s="14"/>
      <c r="O30" s="88"/>
      <c r="P30" s="88"/>
      <c r="Q30" s="89"/>
      <c r="R30" s="42" t="s">
        <v>162</v>
      </c>
    </row>
    <row r="31" ht="16.5" customHeight="1">
      <c r="A31" s="85" t="s">
        <v>2230</v>
      </c>
      <c r="B31" s="11" t="s">
        <v>2216</v>
      </c>
      <c r="C31" s="86" t="b">
        <v>0</v>
      </c>
      <c r="D31" s="87"/>
      <c r="E31" s="11" t="s">
        <v>523</v>
      </c>
      <c r="F31" s="14"/>
      <c r="G31" s="14"/>
      <c r="H31" s="11"/>
      <c r="I31" s="14"/>
      <c r="J31" s="14"/>
      <c r="K31" s="14"/>
      <c r="L31" s="14"/>
      <c r="M31" s="14"/>
      <c r="N31" s="14"/>
      <c r="O31" s="88"/>
      <c r="P31" s="88"/>
      <c r="Q31" s="89"/>
      <c r="R31" s="42" t="s">
        <v>162</v>
      </c>
    </row>
    <row r="32" ht="16.5" customHeight="1">
      <c r="A32" s="85" t="s">
        <v>2231</v>
      </c>
      <c r="B32" s="11" t="s">
        <v>2229</v>
      </c>
      <c r="C32" s="86" t="b">
        <v>0</v>
      </c>
      <c r="D32" s="87"/>
      <c r="E32" s="11" t="s">
        <v>523</v>
      </c>
      <c r="F32" s="14"/>
      <c r="G32" s="14"/>
      <c r="H32" s="11"/>
      <c r="I32" s="14"/>
      <c r="J32" s="14"/>
      <c r="K32" s="14"/>
      <c r="L32" s="14"/>
      <c r="M32" s="14"/>
      <c r="N32" s="14"/>
      <c r="O32" s="88"/>
      <c r="P32" s="88"/>
      <c r="Q32" s="89"/>
      <c r="R32" s="42" t="s">
        <v>162</v>
      </c>
    </row>
    <row r="33" ht="16.5" customHeight="1">
      <c r="A33" s="85" t="s">
        <v>2232</v>
      </c>
      <c r="B33" s="11" t="s">
        <v>2180</v>
      </c>
      <c r="C33" s="86" t="b">
        <v>0</v>
      </c>
      <c r="D33" s="87"/>
      <c r="E33" s="11" t="s">
        <v>523</v>
      </c>
      <c r="F33" s="14"/>
      <c r="G33" s="14"/>
      <c r="H33" s="11"/>
      <c r="I33" s="14"/>
      <c r="J33" s="14"/>
      <c r="K33" s="14"/>
      <c r="L33" s="14"/>
      <c r="M33" s="14"/>
      <c r="N33" s="14"/>
      <c r="O33" s="88"/>
      <c r="P33" s="88"/>
      <c r="Q33" s="89"/>
      <c r="R33" s="42" t="s">
        <v>162</v>
      </c>
    </row>
    <row r="34" ht="16.5" customHeight="1">
      <c r="A34" s="85" t="s">
        <v>2233</v>
      </c>
      <c r="B34" s="11" t="s">
        <v>2216</v>
      </c>
      <c r="C34" s="86" t="b">
        <v>0</v>
      </c>
      <c r="D34" s="87"/>
      <c r="E34" s="11" t="s">
        <v>193</v>
      </c>
      <c r="F34" s="14"/>
      <c r="G34" s="14"/>
      <c r="H34" s="11"/>
      <c r="I34" s="14"/>
      <c r="J34" s="14"/>
      <c r="K34" s="14"/>
      <c r="L34" s="14"/>
      <c r="M34" s="14"/>
      <c r="N34" s="14"/>
      <c r="O34" s="88"/>
      <c r="P34" s="88"/>
      <c r="Q34" s="89"/>
      <c r="R34" s="42" t="s">
        <v>162</v>
      </c>
    </row>
    <row r="35" ht="16.5" customHeight="1">
      <c r="A35" s="85" t="s">
        <v>2234</v>
      </c>
      <c r="B35" s="11" t="s">
        <v>845</v>
      </c>
      <c r="C35" s="86" t="b">
        <v>1</v>
      </c>
      <c r="D35" s="87" t="s">
        <v>2193</v>
      </c>
      <c r="E35" s="11" t="s">
        <v>2182</v>
      </c>
      <c r="F35" s="14"/>
      <c r="G35" s="14"/>
      <c r="H35" s="11"/>
      <c r="I35" s="14"/>
      <c r="J35" s="14"/>
      <c r="K35" s="14"/>
      <c r="L35" s="14"/>
      <c r="M35" s="14"/>
      <c r="N35" s="14"/>
      <c r="O35" s="88"/>
      <c r="P35" s="88"/>
      <c r="Q35" s="89"/>
      <c r="R35" s="42" t="s">
        <v>162</v>
      </c>
    </row>
    <row r="36" ht="16.5" customHeight="1">
      <c r="A36" s="85" t="s">
        <v>2235</v>
      </c>
      <c r="B36" s="11" t="s">
        <v>2180</v>
      </c>
      <c r="C36" s="86" t="b">
        <v>0</v>
      </c>
      <c r="D36" s="87"/>
      <c r="E36" s="11" t="s">
        <v>2182</v>
      </c>
      <c r="F36" s="14"/>
      <c r="G36" s="14"/>
      <c r="H36" s="11"/>
      <c r="I36" s="14"/>
      <c r="J36" s="14"/>
      <c r="K36" s="14"/>
      <c r="L36" s="14"/>
      <c r="M36" s="14"/>
      <c r="N36" s="14"/>
      <c r="O36" s="88"/>
      <c r="P36" s="88"/>
      <c r="Q36" s="89"/>
    </row>
    <row r="37" ht="16.5" customHeight="1">
      <c r="A37" s="85" t="s">
        <v>2236</v>
      </c>
      <c r="B37" s="11" t="s">
        <v>2180</v>
      </c>
      <c r="C37" s="86" t="b">
        <v>0</v>
      </c>
      <c r="D37" s="87"/>
      <c r="E37" s="11" t="s">
        <v>2182</v>
      </c>
      <c r="F37" s="14"/>
      <c r="G37" s="14"/>
      <c r="H37" s="11"/>
      <c r="I37" s="14"/>
      <c r="J37" s="14"/>
      <c r="K37" s="14"/>
      <c r="L37" s="14"/>
      <c r="M37" s="14"/>
      <c r="N37" s="14"/>
      <c r="O37" s="88"/>
      <c r="P37" s="88"/>
      <c r="Q37" s="89"/>
    </row>
    <row r="38" ht="16.5" customHeight="1">
      <c r="A38" s="85" t="s">
        <v>2237</v>
      </c>
      <c r="B38" s="11" t="s">
        <v>2216</v>
      </c>
      <c r="C38" s="86" t="b">
        <v>0</v>
      </c>
      <c r="D38" s="87"/>
      <c r="E38" s="11" t="s">
        <v>193</v>
      </c>
      <c r="F38" s="14"/>
      <c r="G38" s="14"/>
      <c r="H38" s="11"/>
      <c r="I38" s="14"/>
      <c r="J38" s="14"/>
      <c r="K38" s="14"/>
      <c r="L38" s="14"/>
      <c r="M38" s="14"/>
      <c r="N38" s="14"/>
      <c r="O38" s="88"/>
      <c r="P38" s="88"/>
      <c r="Q38" s="89"/>
    </row>
    <row r="39" ht="16.5" customHeight="1">
      <c r="A39" s="85" t="s">
        <v>2238</v>
      </c>
      <c r="B39" s="11" t="s">
        <v>2180</v>
      </c>
      <c r="C39" s="86" t="b">
        <v>1</v>
      </c>
      <c r="D39" s="87" t="s">
        <v>2197</v>
      </c>
      <c r="E39" s="11" t="s">
        <v>523</v>
      </c>
      <c r="F39" s="14"/>
      <c r="G39" s="14"/>
      <c r="H39" s="11"/>
      <c r="I39" s="14"/>
      <c r="J39" s="14"/>
      <c r="K39" s="14"/>
      <c r="L39" s="14"/>
      <c r="M39" s="14"/>
      <c r="N39" s="14"/>
      <c r="O39" s="88"/>
      <c r="P39" s="88"/>
      <c r="Q39" s="89"/>
    </row>
    <row r="40" ht="16.5" customHeight="1">
      <c r="A40" s="85" t="s">
        <v>2239</v>
      </c>
      <c r="B40" s="11" t="s">
        <v>2180</v>
      </c>
      <c r="C40" s="86" t="b">
        <v>1</v>
      </c>
      <c r="D40" s="87" t="s">
        <v>2199</v>
      </c>
      <c r="E40" s="11" t="s">
        <v>2182</v>
      </c>
      <c r="F40" s="14"/>
      <c r="G40" s="14"/>
      <c r="H40" s="11"/>
      <c r="I40" s="14"/>
      <c r="J40" s="14"/>
      <c r="K40" s="14"/>
      <c r="L40" s="14"/>
      <c r="M40" s="14"/>
      <c r="N40" s="14"/>
      <c r="O40" s="88"/>
      <c r="P40" s="88"/>
      <c r="Q40" s="89"/>
    </row>
    <row r="41" ht="16.5" customHeight="1">
      <c r="A41" s="85" t="s">
        <v>2240</v>
      </c>
      <c r="B41" s="11" t="s">
        <v>845</v>
      </c>
      <c r="C41" s="86" t="b">
        <v>1</v>
      </c>
      <c r="D41" s="87" t="s">
        <v>2201</v>
      </c>
      <c r="E41" s="11" t="s">
        <v>2182</v>
      </c>
      <c r="F41" s="14"/>
      <c r="G41" s="14"/>
      <c r="H41" s="11"/>
      <c r="I41" s="14"/>
      <c r="J41" s="14"/>
      <c r="K41" s="14"/>
      <c r="L41" s="14"/>
      <c r="M41" s="14"/>
      <c r="N41" s="14"/>
      <c r="O41" s="88"/>
      <c r="P41" s="88"/>
      <c r="Q41" s="89"/>
    </row>
    <row r="42" ht="16.5" customHeight="1">
      <c r="A42" s="85" t="s">
        <v>2241</v>
      </c>
      <c r="B42" s="11" t="s">
        <v>2216</v>
      </c>
      <c r="C42" s="86" t="b">
        <v>0</v>
      </c>
      <c r="D42" s="87"/>
      <c r="E42" s="11" t="s">
        <v>523</v>
      </c>
      <c r="F42" s="14"/>
      <c r="G42" s="14"/>
      <c r="H42" s="11"/>
      <c r="I42" s="14"/>
      <c r="J42" s="14"/>
      <c r="K42" s="14"/>
      <c r="L42" s="14"/>
      <c r="M42" s="14"/>
      <c r="N42" s="14"/>
      <c r="O42" s="88"/>
      <c r="P42" s="88"/>
      <c r="Q42" s="89"/>
    </row>
    <row r="43" ht="16.5" customHeight="1">
      <c r="A43" s="85" t="s">
        <v>2242</v>
      </c>
      <c r="B43" s="11" t="s">
        <v>2229</v>
      </c>
      <c r="C43" s="86" t="b">
        <v>0</v>
      </c>
      <c r="D43" s="87"/>
      <c r="E43" s="11" t="s">
        <v>523</v>
      </c>
      <c r="F43" s="14"/>
      <c r="G43" s="14"/>
      <c r="H43" s="11"/>
      <c r="I43" s="14"/>
      <c r="J43" s="14"/>
      <c r="K43" s="14"/>
      <c r="L43" s="14"/>
      <c r="M43" s="14"/>
      <c r="N43" s="14"/>
      <c r="O43" s="88"/>
      <c r="P43" s="88"/>
      <c r="Q43" s="89"/>
    </row>
    <row r="44" ht="16.5" customHeight="1">
      <c r="A44" s="85" t="s">
        <v>2243</v>
      </c>
      <c r="B44" s="11" t="s">
        <v>2216</v>
      </c>
      <c r="C44" s="86" t="b">
        <v>1</v>
      </c>
      <c r="D44" s="87" t="s">
        <v>2204</v>
      </c>
      <c r="E44" s="11" t="s">
        <v>193</v>
      </c>
      <c r="F44" s="14"/>
      <c r="G44" s="14"/>
      <c r="H44" s="11"/>
      <c r="I44" s="14"/>
      <c r="J44" s="14"/>
      <c r="K44" s="14"/>
      <c r="L44" s="14"/>
      <c r="M44" s="14"/>
      <c r="N44" s="14"/>
      <c r="O44" s="88"/>
      <c r="P44" s="88"/>
      <c r="Q44" s="89"/>
    </row>
    <row r="45" ht="16.5" customHeight="1">
      <c r="A45" s="85" t="s">
        <v>2244</v>
      </c>
      <c r="B45" s="11" t="s">
        <v>845</v>
      </c>
      <c r="C45" s="86" t="b">
        <v>1</v>
      </c>
      <c r="D45" s="87" t="s">
        <v>2206</v>
      </c>
      <c r="E45" s="11" t="s">
        <v>2182</v>
      </c>
      <c r="F45" s="14"/>
      <c r="G45" s="14"/>
      <c r="H45" s="11"/>
      <c r="I45" s="14"/>
      <c r="J45" s="14"/>
      <c r="K45" s="14"/>
      <c r="L45" s="14"/>
      <c r="M45" s="14"/>
      <c r="N45" s="14"/>
      <c r="O45" s="88"/>
      <c r="P45" s="88"/>
      <c r="Q45" s="89"/>
    </row>
    <row r="46" ht="16.5" customHeight="1">
      <c r="A46" s="85" t="s">
        <v>2245</v>
      </c>
      <c r="B46" s="11" t="s">
        <v>2189</v>
      </c>
      <c r="C46" s="86" t="b">
        <v>0</v>
      </c>
      <c r="D46" s="87" t="s">
        <v>2184</v>
      </c>
      <c r="E46" s="11" t="s">
        <v>2182</v>
      </c>
      <c r="F46" s="14"/>
      <c r="G46" s="14"/>
      <c r="H46" s="11"/>
      <c r="I46" s="14"/>
      <c r="J46" s="14"/>
      <c r="K46" s="14"/>
      <c r="L46" s="14"/>
      <c r="M46" s="14"/>
      <c r="N46" s="14"/>
      <c r="O46" s="88"/>
      <c r="P46" s="88"/>
      <c r="Q46" s="89"/>
    </row>
    <row r="47" ht="16.5" customHeight="1">
      <c r="A47" s="85" t="s">
        <v>2246</v>
      </c>
      <c r="B47" s="11" t="s">
        <v>2189</v>
      </c>
      <c r="C47" s="86" t="b">
        <v>0</v>
      </c>
      <c r="D47" s="87" t="s">
        <v>2186</v>
      </c>
      <c r="E47" s="11" t="s">
        <v>2182</v>
      </c>
      <c r="F47" s="14"/>
      <c r="G47" s="14"/>
      <c r="H47" s="11"/>
      <c r="I47" s="14"/>
      <c r="J47" s="14"/>
      <c r="K47" s="14"/>
      <c r="L47" s="14"/>
      <c r="M47" s="14"/>
      <c r="N47" s="14"/>
      <c r="O47" s="88"/>
      <c r="P47" s="88"/>
      <c r="Q47" s="89"/>
    </row>
    <row r="48" ht="16.5" customHeight="1">
      <c r="A48" s="85" t="s">
        <v>2247</v>
      </c>
      <c r="B48" s="11" t="s">
        <v>845</v>
      </c>
      <c r="C48" s="86" t="b">
        <v>0</v>
      </c>
      <c r="D48" s="87"/>
      <c r="E48" s="11" t="s">
        <v>2182</v>
      </c>
      <c r="F48" s="14"/>
      <c r="G48" s="14"/>
      <c r="H48" s="11"/>
      <c r="I48" s="14"/>
      <c r="J48" s="14"/>
      <c r="K48" s="14"/>
      <c r="L48" s="14"/>
      <c r="M48" s="14"/>
      <c r="N48" s="14"/>
      <c r="O48" s="88"/>
      <c r="P48" s="88"/>
      <c r="Q48" s="89"/>
    </row>
    <row r="49" ht="16.5" customHeight="1">
      <c r="A49" s="85" t="s">
        <v>2248</v>
      </c>
      <c r="B49" s="11" t="s">
        <v>2180</v>
      </c>
      <c r="C49" s="86" t="b">
        <v>0</v>
      </c>
      <c r="D49" s="87" t="s">
        <v>2190</v>
      </c>
      <c r="E49" s="11" t="s">
        <v>2182</v>
      </c>
      <c r="F49" s="14"/>
      <c r="G49" s="14"/>
      <c r="H49" s="11"/>
      <c r="I49" s="14"/>
      <c r="J49" s="14"/>
      <c r="K49" s="14"/>
      <c r="L49" s="14"/>
      <c r="M49" s="14"/>
      <c r="N49" s="14"/>
      <c r="O49" s="88"/>
      <c r="P49" s="88"/>
      <c r="Q49" s="89"/>
    </row>
    <row r="50" ht="16.5" customHeight="1">
      <c r="A50" s="85" t="s">
        <v>2249</v>
      </c>
      <c r="B50" s="11" t="s">
        <v>2229</v>
      </c>
      <c r="C50" s="86" t="b">
        <v>0</v>
      </c>
      <c r="D50" s="87"/>
      <c r="E50" s="11" t="s">
        <v>2182</v>
      </c>
      <c r="F50" s="14"/>
      <c r="G50" s="14"/>
      <c r="H50" s="11"/>
      <c r="I50" s="14"/>
      <c r="J50" s="14"/>
      <c r="K50" s="14"/>
      <c r="L50" s="14"/>
      <c r="M50" s="14"/>
      <c r="N50" s="14"/>
      <c r="O50" s="88"/>
      <c r="P50" s="88"/>
      <c r="Q50" s="89"/>
    </row>
    <row r="51" ht="16.5" customHeight="1">
      <c r="A51" s="85" t="s">
        <v>2250</v>
      </c>
      <c r="B51" s="11" t="s">
        <v>2189</v>
      </c>
      <c r="C51" s="86" t="b">
        <v>0</v>
      </c>
      <c r="D51" s="87" t="s">
        <v>2193</v>
      </c>
      <c r="E51" s="11" t="s">
        <v>2182</v>
      </c>
      <c r="F51" s="14"/>
      <c r="G51" s="14"/>
      <c r="H51" s="11"/>
      <c r="I51" s="14"/>
      <c r="J51" s="14"/>
      <c r="K51" s="14"/>
      <c r="L51" s="14"/>
      <c r="M51" s="14"/>
      <c r="N51" s="14"/>
      <c r="O51" s="88"/>
      <c r="P51" s="88"/>
      <c r="Q51" s="89"/>
    </row>
    <row r="52" ht="16.5" customHeight="1">
      <c r="A52" s="85" t="s">
        <v>2251</v>
      </c>
      <c r="B52" s="11" t="s">
        <v>2189</v>
      </c>
      <c r="C52" s="86" t="b">
        <v>0</v>
      </c>
      <c r="D52" s="87"/>
      <c r="E52" s="11" t="s">
        <v>2182</v>
      </c>
      <c r="F52" s="14"/>
      <c r="G52" s="14"/>
      <c r="H52" s="11"/>
      <c r="I52" s="14"/>
      <c r="J52" s="14"/>
      <c r="K52" s="14"/>
      <c r="L52" s="14"/>
      <c r="M52" s="14"/>
      <c r="N52" s="14"/>
      <c r="O52" s="88"/>
      <c r="P52" s="88"/>
      <c r="Q52" s="89"/>
    </row>
    <row r="53" ht="16.5" customHeight="1">
      <c r="A53" s="85" t="s">
        <v>2252</v>
      </c>
      <c r="B53" s="11" t="s">
        <v>2189</v>
      </c>
      <c r="C53" s="86" t="b">
        <v>0</v>
      </c>
      <c r="D53" s="91"/>
      <c r="E53" s="11" t="s">
        <v>193</v>
      </c>
      <c r="F53" s="33"/>
      <c r="G53" s="33"/>
      <c r="H53" s="11"/>
      <c r="I53" s="33"/>
      <c r="J53" s="33"/>
      <c r="K53" s="33"/>
      <c r="L53" s="33"/>
      <c r="M53" s="33"/>
      <c r="N53" s="11"/>
      <c r="O53" s="88"/>
      <c r="P53" s="88"/>
      <c r="Q53" s="89"/>
    </row>
    <row r="54" ht="16.5" customHeight="1">
      <c r="A54" s="85" t="s">
        <v>2253</v>
      </c>
      <c r="B54" s="11" t="s">
        <v>2229</v>
      </c>
      <c r="C54" s="86" t="b">
        <v>0</v>
      </c>
      <c r="D54" s="87" t="s">
        <v>2197</v>
      </c>
      <c r="E54" s="11" t="s">
        <v>523</v>
      </c>
      <c r="F54" s="33"/>
      <c r="G54" s="33"/>
      <c r="H54" s="11"/>
      <c r="I54" s="14"/>
      <c r="J54" s="14"/>
      <c r="K54" s="14"/>
      <c r="L54" s="14"/>
      <c r="M54" s="14"/>
      <c r="N54" s="14"/>
      <c r="O54" s="90"/>
      <c r="P54" s="88"/>
      <c r="Q54" s="89"/>
    </row>
    <row r="55" ht="16.5" customHeight="1">
      <c r="A55" s="85" t="s">
        <v>2254</v>
      </c>
      <c r="B55" s="11" t="s">
        <v>2229</v>
      </c>
      <c r="C55" s="86" t="b">
        <v>0</v>
      </c>
      <c r="D55" s="87" t="s">
        <v>2199</v>
      </c>
      <c r="E55" s="11" t="s">
        <v>2182</v>
      </c>
      <c r="F55" s="11"/>
      <c r="G55" s="11"/>
      <c r="H55" s="11"/>
      <c r="I55" s="14"/>
      <c r="J55" s="14"/>
      <c r="K55" s="14"/>
      <c r="L55" s="14"/>
      <c r="M55" s="14"/>
      <c r="N55" s="14"/>
      <c r="O55" s="88"/>
      <c r="P55" s="88"/>
      <c r="Q55" s="89"/>
    </row>
    <row r="56" ht="16.5" customHeight="1">
      <c r="A56" s="85" t="s">
        <v>2255</v>
      </c>
      <c r="B56" s="11" t="s">
        <v>845</v>
      </c>
      <c r="C56" s="86" t="b">
        <v>0</v>
      </c>
      <c r="D56" s="87" t="s">
        <v>2201</v>
      </c>
      <c r="E56" s="11" t="s">
        <v>2182</v>
      </c>
      <c r="F56" s="11"/>
      <c r="G56" s="11"/>
      <c r="H56" s="11"/>
      <c r="I56" s="14"/>
      <c r="J56" s="14"/>
      <c r="K56" s="14"/>
      <c r="L56" s="14"/>
      <c r="M56" s="14"/>
      <c r="N56" s="14"/>
      <c r="O56" s="88"/>
      <c r="P56" s="88"/>
      <c r="Q56" s="89"/>
    </row>
    <row r="57" ht="16.5" customHeight="1">
      <c r="A57" s="85" t="s">
        <v>2256</v>
      </c>
      <c r="B57" s="11" t="s">
        <v>2216</v>
      </c>
      <c r="C57" s="86" t="b">
        <v>0</v>
      </c>
      <c r="D57" s="87" t="s">
        <v>2204</v>
      </c>
      <c r="E57" s="11" t="s">
        <v>193</v>
      </c>
      <c r="F57" s="11"/>
      <c r="G57" s="11"/>
      <c r="H57" s="11"/>
      <c r="I57" s="14"/>
      <c r="J57" s="14"/>
      <c r="K57" s="14"/>
      <c r="L57" s="14"/>
      <c r="M57" s="14"/>
      <c r="N57" s="14"/>
      <c r="O57" s="88"/>
      <c r="P57" s="88"/>
      <c r="Q57" s="89"/>
    </row>
    <row r="58" ht="16.5" customHeight="1">
      <c r="A58" s="85" t="s">
        <v>2257</v>
      </c>
      <c r="B58" s="11" t="s">
        <v>2180</v>
      </c>
      <c r="C58" s="86" t="b">
        <v>0</v>
      </c>
      <c r="D58" s="87" t="s">
        <v>2206</v>
      </c>
      <c r="E58" s="11" t="s">
        <v>2182</v>
      </c>
      <c r="F58" s="14"/>
      <c r="G58" s="14"/>
      <c r="H58" s="11"/>
      <c r="I58" s="11"/>
      <c r="J58" s="11"/>
      <c r="K58" s="11"/>
      <c r="L58" s="11"/>
      <c r="M58" s="11"/>
      <c r="N58" s="14"/>
      <c r="O58" s="88"/>
      <c r="P58" s="88"/>
      <c r="Q58" s="89"/>
    </row>
    <row r="59" ht="16.5" customHeight="1">
      <c r="A59" s="85" t="s">
        <v>2258</v>
      </c>
      <c r="B59" s="11" t="s">
        <v>2229</v>
      </c>
      <c r="C59" s="86" t="b">
        <v>0</v>
      </c>
      <c r="D59" s="87" t="s">
        <v>2181</v>
      </c>
      <c r="E59" s="11" t="s">
        <v>2182</v>
      </c>
      <c r="F59" s="14"/>
      <c r="G59" s="14"/>
      <c r="H59" s="11"/>
      <c r="I59" s="33"/>
      <c r="J59" s="33"/>
      <c r="K59" s="33"/>
      <c r="L59" s="33"/>
      <c r="M59" s="33"/>
      <c r="N59" s="14"/>
      <c r="O59" s="88"/>
      <c r="P59" s="88"/>
      <c r="Q59" s="89"/>
    </row>
    <row r="60" ht="16.5" customHeight="1">
      <c r="A60" s="85" t="s">
        <v>2259</v>
      </c>
      <c r="B60" s="11" t="s">
        <v>2216</v>
      </c>
      <c r="C60" s="86" t="b">
        <v>0</v>
      </c>
      <c r="D60" s="87" t="s">
        <v>2208</v>
      </c>
      <c r="E60" s="11" t="s">
        <v>193</v>
      </c>
      <c r="F60" s="14"/>
      <c r="G60" s="14"/>
      <c r="H60" s="11"/>
      <c r="I60" s="33"/>
      <c r="J60" s="33"/>
      <c r="K60" s="33"/>
      <c r="L60" s="33"/>
      <c r="M60" s="33"/>
      <c r="N60" s="14"/>
      <c r="O60" s="88"/>
      <c r="P60" s="88"/>
      <c r="Q60" s="89"/>
    </row>
    <row r="61" ht="16.5" customHeight="1">
      <c r="A61" s="85" t="s">
        <v>2260</v>
      </c>
      <c r="B61" s="11" t="s">
        <v>2180</v>
      </c>
      <c r="C61" s="86" t="b">
        <v>0</v>
      </c>
      <c r="D61" s="87" t="s">
        <v>2223</v>
      </c>
      <c r="E61" s="11" t="s">
        <v>2182</v>
      </c>
      <c r="F61" s="14"/>
      <c r="G61" s="14"/>
      <c r="H61" s="11"/>
      <c r="I61" s="33"/>
      <c r="J61" s="33"/>
      <c r="K61" s="33"/>
      <c r="L61" s="33"/>
      <c r="M61" s="33"/>
      <c r="N61" s="14"/>
      <c r="O61" s="88"/>
      <c r="P61" s="88"/>
      <c r="Q61" s="89"/>
    </row>
    <row r="62" ht="16.5" customHeight="1">
      <c r="A62" s="85" t="s">
        <v>2261</v>
      </c>
      <c r="B62" s="11" t="s">
        <v>2229</v>
      </c>
      <c r="C62" s="86" t="b">
        <v>0</v>
      </c>
      <c r="D62" s="87" t="s">
        <v>2210</v>
      </c>
      <c r="E62" s="11" t="s">
        <v>2182</v>
      </c>
      <c r="F62" s="14"/>
      <c r="G62" s="14"/>
      <c r="H62" s="11"/>
      <c r="I62" s="33"/>
      <c r="J62" s="33"/>
      <c r="K62" s="33"/>
      <c r="L62" s="33"/>
      <c r="M62" s="33"/>
      <c r="N62" s="14"/>
      <c r="O62" s="88"/>
      <c r="P62" s="88"/>
      <c r="Q62" s="89"/>
    </row>
    <row r="63" ht="16.5" customHeight="1">
      <c r="A63" s="85" t="s">
        <v>2262</v>
      </c>
      <c r="B63" s="11" t="s">
        <v>2180</v>
      </c>
      <c r="C63" s="86" t="b">
        <v>0</v>
      </c>
      <c r="D63" s="87" t="s">
        <v>2212</v>
      </c>
      <c r="E63" s="11" t="s">
        <v>2182</v>
      </c>
      <c r="F63" s="14"/>
      <c r="G63" s="14"/>
      <c r="H63" s="11"/>
      <c r="I63" s="33"/>
      <c r="J63" s="33"/>
      <c r="K63" s="33"/>
      <c r="L63" s="33"/>
      <c r="M63" s="33"/>
      <c r="N63" s="14"/>
      <c r="O63" s="88"/>
      <c r="P63" s="88"/>
      <c r="Q63" s="89"/>
    </row>
    <row r="64" ht="16.5" customHeight="1">
      <c r="A64" s="85" t="s">
        <v>2263</v>
      </c>
      <c r="B64" s="11" t="s">
        <v>2216</v>
      </c>
      <c r="C64" s="86" t="b">
        <v>0</v>
      </c>
      <c r="D64" s="87" t="s">
        <v>2214</v>
      </c>
      <c r="E64" s="11" t="s">
        <v>193</v>
      </c>
      <c r="F64" s="14"/>
      <c r="G64" s="14"/>
      <c r="H64" s="11"/>
      <c r="I64" s="33"/>
      <c r="J64" s="33"/>
      <c r="K64" s="33"/>
      <c r="L64" s="33"/>
      <c r="M64" s="33"/>
      <c r="N64" s="14"/>
      <c r="O64" s="88"/>
      <c r="P64" s="88"/>
      <c r="Q64" s="89"/>
    </row>
    <row r="65" ht="16.5" customHeight="1">
      <c r="A65" s="85" t="s">
        <v>2264</v>
      </c>
      <c r="B65" s="11" t="s">
        <v>2203</v>
      </c>
      <c r="C65" s="86" t="b">
        <v>0</v>
      </c>
      <c r="D65" s="87" t="s">
        <v>2217</v>
      </c>
      <c r="E65" s="11" t="s">
        <v>193</v>
      </c>
      <c r="F65" s="14"/>
      <c r="G65" s="14"/>
      <c r="H65" s="11"/>
      <c r="I65" s="33"/>
      <c r="J65" s="33"/>
      <c r="K65" s="33"/>
      <c r="L65" s="33"/>
      <c r="M65" s="33"/>
      <c r="N65" s="14"/>
      <c r="O65" s="88"/>
      <c r="P65" s="88"/>
      <c r="Q65" s="89"/>
    </row>
    <row r="66" ht="16.5" customHeight="1">
      <c r="A66" s="85" t="s">
        <v>2265</v>
      </c>
      <c r="B66" s="11" t="s">
        <v>2203</v>
      </c>
      <c r="C66" s="86" t="b">
        <v>0</v>
      </c>
      <c r="D66" s="87" t="s">
        <v>2219</v>
      </c>
      <c r="E66" s="11" t="s">
        <v>523</v>
      </c>
      <c r="F66" s="14"/>
      <c r="G66" s="14"/>
      <c r="H66" s="11"/>
      <c r="I66" s="33"/>
      <c r="J66" s="33"/>
      <c r="K66" s="33"/>
      <c r="L66" s="33"/>
      <c r="M66" s="33"/>
      <c r="N66" s="14"/>
      <c r="O66" s="88"/>
      <c r="P66" s="88"/>
      <c r="Q66" s="89"/>
    </row>
    <row r="67" ht="16.5" customHeight="1">
      <c r="A67" s="85" t="s">
        <v>2266</v>
      </c>
      <c r="B67" s="11" t="s">
        <v>2189</v>
      </c>
      <c r="C67" s="86" t="b">
        <v>0</v>
      </c>
      <c r="D67" s="87"/>
      <c r="E67" s="11" t="s">
        <v>193</v>
      </c>
      <c r="F67" s="14"/>
      <c r="G67" s="14"/>
      <c r="H67" s="11"/>
      <c r="I67" s="33"/>
      <c r="J67" s="33"/>
      <c r="K67" s="33"/>
      <c r="L67" s="33"/>
      <c r="M67" s="33"/>
      <c r="N67" s="14"/>
      <c r="O67" s="88"/>
      <c r="P67" s="88"/>
      <c r="Q67" s="89"/>
    </row>
    <row r="68" ht="16.5" customHeight="1">
      <c r="A68" s="85" t="s">
        <v>2267</v>
      </c>
      <c r="B68" s="11" t="s">
        <v>2203</v>
      </c>
      <c r="C68" s="86" t="b">
        <v>0</v>
      </c>
      <c r="D68" s="87"/>
      <c r="E68" s="11" t="s">
        <v>193</v>
      </c>
      <c r="F68" s="14"/>
      <c r="G68" s="14"/>
      <c r="H68" s="11"/>
      <c r="I68" s="33"/>
      <c r="J68" s="33"/>
      <c r="K68" s="33"/>
      <c r="L68" s="33"/>
      <c r="M68" s="33"/>
      <c r="N68" s="14"/>
      <c r="O68" s="88"/>
      <c r="P68" s="88"/>
      <c r="Q68" s="89"/>
    </row>
    <row r="69" ht="16.5" customHeight="1">
      <c r="A69" s="85" t="s">
        <v>2268</v>
      </c>
      <c r="B69" s="11" t="s">
        <v>2180</v>
      </c>
      <c r="C69" s="86" t="b">
        <v>1</v>
      </c>
      <c r="D69" s="87" t="s">
        <v>2181</v>
      </c>
      <c r="E69" s="11" t="s">
        <v>2182</v>
      </c>
      <c r="F69" s="14"/>
      <c r="G69" s="14"/>
      <c r="H69" s="11"/>
      <c r="I69" s="33"/>
      <c r="J69" s="33"/>
      <c r="K69" s="33"/>
      <c r="L69" s="33"/>
      <c r="M69" s="33"/>
      <c r="N69" s="14"/>
      <c r="O69" s="88"/>
      <c r="P69" s="88"/>
      <c r="Q69" s="89"/>
    </row>
    <row r="70" ht="16.5" customHeight="1">
      <c r="A70" s="85" t="s">
        <v>2269</v>
      </c>
      <c r="B70" s="11" t="s">
        <v>845</v>
      </c>
      <c r="C70" s="86" t="b">
        <v>0</v>
      </c>
      <c r="D70" s="87"/>
      <c r="E70" s="11" t="s">
        <v>523</v>
      </c>
      <c r="F70" s="14"/>
      <c r="G70" s="14"/>
      <c r="H70" s="11"/>
      <c r="I70" s="33"/>
      <c r="J70" s="33"/>
      <c r="K70" s="33"/>
      <c r="L70" s="33"/>
      <c r="M70" s="33"/>
      <c r="N70" s="14"/>
      <c r="O70" s="88"/>
      <c r="P70" s="88"/>
      <c r="Q70" s="89"/>
    </row>
    <row r="71" ht="16.5" customHeight="1">
      <c r="A71" s="85" t="s">
        <v>2270</v>
      </c>
      <c r="B71" s="11" t="s">
        <v>2216</v>
      </c>
      <c r="C71" s="86" t="b">
        <v>1</v>
      </c>
      <c r="D71" s="87" t="s">
        <v>2208</v>
      </c>
      <c r="E71" s="11" t="s">
        <v>193</v>
      </c>
      <c r="F71" s="14"/>
      <c r="G71" s="14"/>
      <c r="H71" s="11"/>
      <c r="I71" s="33"/>
      <c r="J71" s="33"/>
      <c r="K71" s="33"/>
      <c r="L71" s="33"/>
      <c r="M71" s="33"/>
      <c r="N71" s="14"/>
      <c r="O71" s="88"/>
      <c r="P71" s="88"/>
      <c r="Q71" s="89"/>
    </row>
    <row r="72" ht="16.5" customHeight="1">
      <c r="A72" s="85" t="s">
        <v>2271</v>
      </c>
      <c r="B72" s="11" t="s">
        <v>2189</v>
      </c>
      <c r="C72" s="86" t="b">
        <v>1</v>
      </c>
      <c r="D72" s="87" t="s">
        <v>2223</v>
      </c>
      <c r="E72" s="11" t="s">
        <v>2182</v>
      </c>
      <c r="F72" s="14"/>
      <c r="G72" s="14"/>
      <c r="H72" s="11"/>
      <c r="I72" s="33"/>
      <c r="J72" s="33"/>
      <c r="K72" s="33"/>
      <c r="L72" s="33"/>
      <c r="M72" s="33"/>
      <c r="N72" s="14"/>
      <c r="O72" s="88"/>
      <c r="P72" s="88"/>
      <c r="Q72" s="89"/>
    </row>
    <row r="73" ht="16.5" customHeight="1">
      <c r="A73" s="85" t="s">
        <v>2272</v>
      </c>
      <c r="B73" s="11" t="s">
        <v>2180</v>
      </c>
      <c r="C73" s="86" t="b">
        <v>1</v>
      </c>
      <c r="D73" s="87" t="s">
        <v>2210</v>
      </c>
      <c r="E73" s="11" t="s">
        <v>2182</v>
      </c>
      <c r="F73" s="14"/>
      <c r="G73" s="14"/>
      <c r="H73" s="11"/>
      <c r="I73" s="33"/>
      <c r="J73" s="33"/>
      <c r="K73" s="33"/>
      <c r="L73" s="33"/>
      <c r="M73" s="33"/>
      <c r="N73" s="14"/>
      <c r="O73" s="88"/>
      <c r="P73" s="88"/>
      <c r="Q73" s="89"/>
    </row>
    <row r="74" ht="16.5" customHeight="1">
      <c r="A74" s="85" t="s">
        <v>2273</v>
      </c>
      <c r="B74" s="11" t="s">
        <v>2189</v>
      </c>
      <c r="C74" s="86" t="b">
        <v>1</v>
      </c>
      <c r="D74" s="87" t="s">
        <v>2212</v>
      </c>
      <c r="E74" s="11" t="s">
        <v>2182</v>
      </c>
      <c r="F74" s="14"/>
      <c r="G74" s="14"/>
      <c r="H74" s="11"/>
      <c r="I74" s="33"/>
      <c r="J74" s="33"/>
      <c r="K74" s="33"/>
      <c r="L74" s="33"/>
      <c r="M74" s="33"/>
      <c r="N74" s="14"/>
      <c r="O74" s="88"/>
      <c r="P74" s="88"/>
      <c r="Q74" s="89"/>
    </row>
    <row r="75" ht="16.5" customHeight="1">
      <c r="A75" s="85" t="s">
        <v>2274</v>
      </c>
      <c r="B75" s="11" t="s">
        <v>2203</v>
      </c>
      <c r="C75" s="86" t="b">
        <v>0</v>
      </c>
      <c r="D75" s="87"/>
      <c r="E75" s="11" t="s">
        <v>193</v>
      </c>
      <c r="F75" s="14"/>
      <c r="G75" s="14"/>
      <c r="H75" s="11"/>
      <c r="I75" s="33"/>
      <c r="J75" s="33"/>
      <c r="K75" s="33"/>
      <c r="L75" s="33"/>
      <c r="M75" s="33"/>
      <c r="N75" s="14"/>
      <c r="O75" s="88"/>
      <c r="P75" s="88"/>
      <c r="Q75" s="89"/>
    </row>
    <row r="76" ht="16.5" customHeight="1">
      <c r="A76" s="85" t="s">
        <v>2275</v>
      </c>
      <c r="B76" s="11" t="s">
        <v>2216</v>
      </c>
      <c r="C76" s="86" t="b">
        <v>1</v>
      </c>
      <c r="D76" s="87" t="s">
        <v>2214</v>
      </c>
      <c r="E76" s="11" t="s">
        <v>193</v>
      </c>
      <c r="F76" s="14"/>
      <c r="G76" s="14"/>
      <c r="H76" s="11"/>
      <c r="I76" s="33"/>
      <c r="J76" s="33"/>
      <c r="K76" s="33"/>
      <c r="L76" s="33"/>
      <c r="M76" s="33"/>
      <c r="N76" s="14"/>
      <c r="O76" s="88"/>
      <c r="P76" s="88"/>
      <c r="Q76" s="89"/>
    </row>
    <row r="77" ht="16.5" customHeight="1">
      <c r="A77" s="85" t="s">
        <v>2276</v>
      </c>
      <c r="B77" s="11" t="s">
        <v>2216</v>
      </c>
      <c r="C77" s="86" t="b">
        <v>1</v>
      </c>
      <c r="D77" s="87" t="s">
        <v>2217</v>
      </c>
      <c r="E77" s="11" t="s">
        <v>193</v>
      </c>
      <c r="F77" s="14"/>
      <c r="G77" s="14"/>
      <c r="H77" s="11"/>
      <c r="I77" s="33"/>
      <c r="J77" s="33"/>
      <c r="K77" s="33"/>
      <c r="L77" s="33"/>
      <c r="M77" s="33"/>
      <c r="N77" s="14"/>
      <c r="O77" s="88"/>
      <c r="P77" s="88"/>
      <c r="Q77" s="89"/>
    </row>
    <row r="78" ht="16.5" customHeight="1">
      <c r="A78" s="85" t="s">
        <v>2277</v>
      </c>
      <c r="B78" s="11" t="s">
        <v>2216</v>
      </c>
      <c r="C78" s="86" t="b">
        <v>1</v>
      </c>
      <c r="D78" s="87" t="s">
        <v>2219</v>
      </c>
      <c r="E78" s="11" t="s">
        <v>523</v>
      </c>
      <c r="F78" s="14"/>
      <c r="G78" s="14"/>
      <c r="H78" s="11"/>
      <c r="I78" s="33"/>
      <c r="J78" s="33"/>
      <c r="K78" s="33"/>
      <c r="L78" s="33"/>
      <c r="M78" s="33"/>
      <c r="N78" s="14"/>
      <c r="O78" s="88"/>
      <c r="P78" s="88"/>
      <c r="Q78" s="89"/>
    </row>
    <row r="79" ht="16.5" customHeight="1">
      <c r="A79" s="85" t="s">
        <v>2278</v>
      </c>
      <c r="B79" s="11" t="s">
        <v>2216</v>
      </c>
      <c r="C79" s="86" t="b">
        <v>1</v>
      </c>
      <c r="D79" s="87" t="s">
        <v>2221</v>
      </c>
      <c r="E79" s="11" t="s">
        <v>193</v>
      </c>
      <c r="F79" s="14"/>
      <c r="G79" s="14"/>
      <c r="H79" s="11"/>
      <c r="I79" s="33"/>
      <c r="J79" s="33"/>
      <c r="K79" s="33"/>
      <c r="L79" s="33"/>
      <c r="M79" s="33"/>
      <c r="N79" s="14"/>
      <c r="O79" s="88"/>
      <c r="P79" s="88"/>
      <c r="Q79" s="89"/>
    </row>
    <row r="80" ht="16.5" customHeight="1">
      <c r="A80" s="85" t="s">
        <v>2279</v>
      </c>
      <c r="B80" s="11" t="s">
        <v>2180</v>
      </c>
      <c r="C80" s="86" t="b">
        <v>0</v>
      </c>
      <c r="D80" s="87"/>
      <c r="E80" s="11" t="s">
        <v>2182</v>
      </c>
      <c r="F80" s="14"/>
      <c r="G80" s="14"/>
      <c r="H80" s="11"/>
      <c r="I80" s="33"/>
      <c r="J80" s="33"/>
      <c r="K80" s="33"/>
      <c r="L80" s="33"/>
      <c r="M80" s="33"/>
      <c r="N80" s="14"/>
      <c r="O80" s="88"/>
      <c r="P80" s="88"/>
      <c r="Q80" s="89"/>
    </row>
    <row r="81" ht="16.5" customHeight="1">
      <c r="A81" s="85" t="s">
        <v>2280</v>
      </c>
      <c r="B81" s="11" t="s">
        <v>2203</v>
      </c>
      <c r="C81" s="86" t="b">
        <v>0</v>
      </c>
      <c r="D81" s="87"/>
      <c r="E81" s="11" t="s">
        <v>523</v>
      </c>
      <c r="F81" s="14"/>
      <c r="G81" s="14"/>
      <c r="H81" s="11"/>
      <c r="I81" s="33"/>
      <c r="J81" s="33"/>
      <c r="K81" s="33"/>
      <c r="L81" s="33"/>
      <c r="M81" s="33"/>
      <c r="N81" s="14"/>
      <c r="O81" s="88"/>
      <c r="P81" s="88"/>
      <c r="Q81" s="89"/>
    </row>
    <row r="82" ht="16.5" customHeight="1">
      <c r="D82" s="96"/>
    </row>
    <row r="83" ht="16.5" customHeight="1">
      <c r="D83" s="96"/>
    </row>
    <row r="84" ht="16.5" customHeight="1">
      <c r="D84" s="96"/>
    </row>
    <row r="85" ht="16.5" customHeight="1">
      <c r="D85" s="96"/>
    </row>
    <row r="86" ht="16.5" customHeight="1">
      <c r="D86" s="96"/>
    </row>
    <row r="87" ht="16.5" customHeight="1">
      <c r="D87" s="96"/>
    </row>
    <row r="88" ht="16.5" customHeight="1">
      <c r="D88" s="96"/>
    </row>
    <row r="89" ht="16.5" customHeight="1">
      <c r="D89" s="96"/>
    </row>
    <row r="90" ht="16.5" customHeight="1">
      <c r="D90" s="96"/>
    </row>
    <row r="91" ht="16.5" customHeight="1">
      <c r="D91" s="96"/>
    </row>
    <row r="92" ht="16.5" customHeight="1">
      <c r="D92" s="96"/>
    </row>
    <row r="93" ht="16.5" customHeight="1">
      <c r="D93" s="96"/>
    </row>
    <row r="94" ht="16.5" customHeight="1">
      <c r="D94" s="96"/>
    </row>
    <row r="95" ht="16.5" customHeight="1">
      <c r="D95" s="96"/>
    </row>
    <row r="96" ht="16.5" customHeight="1">
      <c r="D96" s="96"/>
    </row>
    <row r="97" ht="16.5" customHeight="1">
      <c r="D97" s="96"/>
    </row>
    <row r="98" ht="16.5" customHeight="1">
      <c r="D98" s="96"/>
    </row>
    <row r="99" ht="16.5" customHeight="1">
      <c r="D99" s="96"/>
    </row>
    <row r="100" ht="16.5" customHeight="1">
      <c r="D100" s="96"/>
    </row>
    <row r="101" ht="16.5" customHeight="1">
      <c r="D101" s="96"/>
    </row>
    <row r="102" ht="16.5" customHeight="1">
      <c r="D102" s="96"/>
    </row>
    <row r="103" ht="16.5" customHeight="1">
      <c r="D103" s="96"/>
    </row>
    <row r="104" ht="16.5" customHeight="1">
      <c r="D104" s="96"/>
    </row>
    <row r="105" ht="16.5" customHeight="1">
      <c r="D105" s="96"/>
    </row>
    <row r="106" ht="16.5" customHeight="1">
      <c r="D106" s="96"/>
    </row>
    <row r="107" ht="16.5" customHeight="1">
      <c r="D107" s="96"/>
    </row>
    <row r="108" ht="16.5" customHeight="1">
      <c r="D108" s="96"/>
    </row>
    <row r="109" ht="16.5" customHeight="1">
      <c r="D109" s="96"/>
    </row>
    <row r="110" ht="16.5" customHeight="1">
      <c r="D110" s="96"/>
    </row>
    <row r="111" ht="16.5" customHeight="1">
      <c r="D111" s="96"/>
    </row>
    <row r="112">
      <c r="D112" s="96"/>
    </row>
    <row r="113">
      <c r="D113" s="96"/>
    </row>
    <row r="114">
      <c r="D114" s="96"/>
    </row>
    <row r="115">
      <c r="D115" s="96"/>
    </row>
    <row r="116">
      <c r="D116" s="96"/>
    </row>
    <row r="117">
      <c r="D117" s="96"/>
    </row>
    <row r="118">
      <c r="D118" s="96"/>
    </row>
    <row r="119">
      <c r="D119" s="96"/>
    </row>
    <row r="120">
      <c r="D120" s="96"/>
    </row>
    <row r="121">
      <c r="D121" s="96"/>
    </row>
    <row r="122">
      <c r="D122" s="96"/>
    </row>
    <row r="123">
      <c r="D123" s="96"/>
    </row>
    <row r="124">
      <c r="D124" s="96"/>
    </row>
    <row r="125">
      <c r="D125" s="96"/>
    </row>
    <row r="126">
      <c r="D126" s="96"/>
    </row>
    <row r="127">
      <c r="D127" s="96"/>
    </row>
    <row r="128">
      <c r="D128" s="96"/>
    </row>
    <row r="129">
      <c r="D129" s="96"/>
    </row>
    <row r="130">
      <c r="D130" s="96"/>
    </row>
    <row r="131">
      <c r="D131" s="96"/>
    </row>
    <row r="132">
      <c r="D132" s="96"/>
    </row>
    <row r="133">
      <c r="D133" s="96"/>
    </row>
    <row r="134">
      <c r="D134" s="96"/>
    </row>
    <row r="135">
      <c r="D135" s="96"/>
    </row>
    <row r="136">
      <c r="D136" s="96"/>
    </row>
    <row r="137">
      <c r="D137" s="96"/>
    </row>
    <row r="138">
      <c r="D138" s="96"/>
    </row>
    <row r="139">
      <c r="D139" s="96"/>
    </row>
    <row r="140">
      <c r="D140" s="96"/>
    </row>
    <row r="141">
      <c r="D141" s="96"/>
    </row>
    <row r="142">
      <c r="D142" s="96"/>
    </row>
    <row r="143">
      <c r="D143" s="96"/>
    </row>
    <row r="144">
      <c r="D144" s="96"/>
    </row>
    <row r="145">
      <c r="D145" s="96"/>
    </row>
    <row r="146">
      <c r="D146" s="96"/>
    </row>
    <row r="147">
      <c r="D147" s="96"/>
    </row>
    <row r="148">
      <c r="D148" s="96"/>
    </row>
    <row r="149">
      <c r="D149" s="96"/>
    </row>
    <row r="150">
      <c r="D150" s="96"/>
    </row>
    <row r="151">
      <c r="D151" s="96"/>
    </row>
    <row r="152">
      <c r="D152" s="96"/>
    </row>
    <row r="153">
      <c r="D153" s="96"/>
    </row>
    <row r="154">
      <c r="D154" s="96"/>
    </row>
    <row r="155">
      <c r="D155" s="96"/>
    </row>
    <row r="156">
      <c r="D156" s="96"/>
    </row>
    <row r="157">
      <c r="D157" s="96"/>
    </row>
    <row r="158">
      <c r="D158" s="96"/>
    </row>
    <row r="159">
      <c r="D159" s="96"/>
    </row>
    <row r="160">
      <c r="D160" s="96"/>
    </row>
    <row r="161">
      <c r="D161" s="96"/>
    </row>
    <row r="162">
      <c r="D162" s="96"/>
    </row>
    <row r="163">
      <c r="D163" s="96"/>
    </row>
    <row r="164">
      <c r="D164" s="96"/>
    </row>
    <row r="165">
      <c r="D165" s="96"/>
    </row>
    <row r="166">
      <c r="D166" s="96"/>
    </row>
    <row r="167">
      <c r="D167" s="96"/>
    </row>
    <row r="168">
      <c r="D168" s="96"/>
    </row>
    <row r="169">
      <c r="D169" s="96"/>
    </row>
    <row r="170">
      <c r="D170" s="96"/>
    </row>
    <row r="171">
      <c r="D171" s="96"/>
    </row>
    <row r="172">
      <c r="D172" s="96"/>
    </row>
    <row r="173">
      <c r="D173" s="96"/>
    </row>
    <row r="174">
      <c r="D174" s="96"/>
    </row>
    <row r="175">
      <c r="D175" s="96"/>
    </row>
    <row r="176">
      <c r="D176" s="96"/>
    </row>
    <row r="177">
      <c r="D177" s="96"/>
    </row>
    <row r="178">
      <c r="D178" s="96"/>
    </row>
    <row r="179">
      <c r="D179" s="96"/>
    </row>
    <row r="180">
      <c r="D180" s="96"/>
    </row>
    <row r="181">
      <c r="D181" s="96"/>
    </row>
    <row r="182">
      <c r="D182" s="96"/>
    </row>
    <row r="183">
      <c r="D183" s="96"/>
    </row>
    <row r="184">
      <c r="D184" s="96"/>
    </row>
    <row r="185">
      <c r="D185" s="96"/>
    </row>
    <row r="186">
      <c r="D186" s="96"/>
    </row>
    <row r="187">
      <c r="D187" s="96"/>
    </row>
    <row r="188">
      <c r="D188" s="96"/>
    </row>
    <row r="189">
      <c r="D189" s="96"/>
    </row>
    <row r="190">
      <c r="D190" s="96"/>
    </row>
    <row r="191">
      <c r="D191" s="96"/>
    </row>
    <row r="192">
      <c r="D192" s="96"/>
    </row>
    <row r="193">
      <c r="D193" s="96"/>
    </row>
    <row r="194">
      <c r="D194" s="96"/>
    </row>
    <row r="195">
      <c r="D195" s="96"/>
    </row>
    <row r="196">
      <c r="D196" s="96"/>
    </row>
    <row r="197">
      <c r="D197" s="96"/>
    </row>
    <row r="198">
      <c r="D198" s="96"/>
    </row>
    <row r="199">
      <c r="D199" s="96"/>
    </row>
    <row r="200">
      <c r="D200" s="96"/>
    </row>
    <row r="201">
      <c r="D201" s="96"/>
    </row>
    <row r="202">
      <c r="D202" s="96"/>
    </row>
    <row r="203">
      <c r="D203" s="96"/>
    </row>
    <row r="204">
      <c r="D204" s="96"/>
    </row>
    <row r="205">
      <c r="D205" s="96"/>
    </row>
    <row r="206">
      <c r="D206" s="96"/>
    </row>
    <row r="207">
      <c r="D207" s="96"/>
    </row>
    <row r="208">
      <c r="D208" s="96"/>
    </row>
    <row r="209">
      <c r="D209" s="96"/>
    </row>
    <row r="210">
      <c r="D210" s="96"/>
    </row>
    <row r="211">
      <c r="D211" s="96"/>
    </row>
    <row r="212">
      <c r="D212" s="96"/>
    </row>
    <row r="213">
      <c r="D213" s="96"/>
    </row>
    <row r="214">
      <c r="D214" s="96"/>
    </row>
    <row r="215">
      <c r="D215" s="96"/>
    </row>
    <row r="216">
      <c r="D216" s="96"/>
    </row>
    <row r="217">
      <c r="D217" s="96"/>
    </row>
    <row r="218">
      <c r="D218" s="96"/>
    </row>
    <row r="219">
      <c r="D219" s="96"/>
    </row>
    <row r="220">
      <c r="D220" s="96"/>
    </row>
    <row r="221">
      <c r="D221" s="96"/>
    </row>
    <row r="222">
      <c r="D222" s="96"/>
    </row>
    <row r="223">
      <c r="D223" s="96"/>
    </row>
    <row r="224">
      <c r="D224" s="96"/>
    </row>
    <row r="225">
      <c r="D225" s="96"/>
    </row>
    <row r="226">
      <c r="D226" s="96"/>
    </row>
    <row r="227">
      <c r="D227" s="96"/>
    </row>
    <row r="228">
      <c r="D228" s="96"/>
    </row>
    <row r="229">
      <c r="D229" s="96"/>
    </row>
    <row r="230">
      <c r="D230" s="96"/>
    </row>
    <row r="231">
      <c r="D231" s="96"/>
    </row>
    <row r="232">
      <c r="D232" s="96"/>
    </row>
    <row r="233">
      <c r="D233" s="96"/>
    </row>
    <row r="234">
      <c r="D234" s="96"/>
    </row>
    <row r="235">
      <c r="D235" s="96"/>
    </row>
    <row r="236">
      <c r="D236" s="96"/>
    </row>
    <row r="237">
      <c r="D237" s="96"/>
    </row>
    <row r="238">
      <c r="D238" s="96"/>
    </row>
    <row r="239">
      <c r="D239" s="96"/>
    </row>
    <row r="240">
      <c r="D240" s="96"/>
    </row>
    <row r="241">
      <c r="D241" s="96"/>
    </row>
    <row r="242">
      <c r="D242" s="96"/>
    </row>
    <row r="243">
      <c r="D243" s="96"/>
    </row>
    <row r="244">
      <c r="D244" s="96"/>
    </row>
    <row r="245">
      <c r="D245" s="96"/>
    </row>
    <row r="246">
      <c r="D246" s="96"/>
    </row>
    <row r="247">
      <c r="D247" s="96"/>
    </row>
    <row r="248">
      <c r="D248" s="96"/>
    </row>
    <row r="249">
      <c r="D249" s="96"/>
    </row>
    <row r="250">
      <c r="D250" s="96"/>
    </row>
    <row r="251">
      <c r="D251" s="96"/>
    </row>
    <row r="252">
      <c r="D252" s="96"/>
    </row>
    <row r="253">
      <c r="D253" s="96"/>
    </row>
    <row r="254">
      <c r="D254" s="96"/>
    </row>
    <row r="255">
      <c r="D255" s="96"/>
    </row>
    <row r="256">
      <c r="D256" s="96"/>
    </row>
    <row r="257">
      <c r="D257" s="96"/>
    </row>
    <row r="258">
      <c r="D258" s="96"/>
    </row>
    <row r="259">
      <c r="D259" s="96"/>
    </row>
    <row r="260">
      <c r="D260" s="96"/>
    </row>
    <row r="261">
      <c r="D261" s="96"/>
    </row>
    <row r="262">
      <c r="D262" s="96"/>
    </row>
    <row r="263">
      <c r="D263" s="96"/>
    </row>
    <row r="264">
      <c r="D264" s="96"/>
    </row>
    <row r="265">
      <c r="D265" s="96"/>
    </row>
    <row r="266">
      <c r="D266" s="96"/>
    </row>
    <row r="267">
      <c r="D267" s="96"/>
    </row>
    <row r="268">
      <c r="D268" s="96"/>
    </row>
    <row r="269">
      <c r="D269" s="96"/>
    </row>
    <row r="270">
      <c r="D270" s="96"/>
    </row>
    <row r="271">
      <c r="D271" s="96"/>
    </row>
    <row r="272">
      <c r="D272" s="96"/>
    </row>
    <row r="273">
      <c r="D273" s="96"/>
    </row>
    <row r="274">
      <c r="D274" s="96"/>
    </row>
    <row r="275">
      <c r="D275" s="96"/>
    </row>
    <row r="276">
      <c r="D276" s="96"/>
    </row>
    <row r="277">
      <c r="D277" s="96"/>
    </row>
    <row r="278">
      <c r="D278" s="96"/>
    </row>
    <row r="279">
      <c r="D279" s="96"/>
    </row>
    <row r="280">
      <c r="D280" s="96"/>
    </row>
    <row r="281">
      <c r="D281" s="96"/>
    </row>
    <row r="282">
      <c r="D282" s="96"/>
    </row>
    <row r="283">
      <c r="D283" s="96"/>
    </row>
    <row r="284">
      <c r="D284" s="96"/>
    </row>
    <row r="285">
      <c r="D285" s="96"/>
    </row>
    <row r="286">
      <c r="D286" s="96"/>
    </row>
    <row r="287">
      <c r="D287" s="96"/>
    </row>
    <row r="288">
      <c r="D288" s="96"/>
    </row>
    <row r="289">
      <c r="D289" s="96"/>
    </row>
    <row r="290">
      <c r="D290" s="96"/>
    </row>
    <row r="291">
      <c r="D291" s="96"/>
    </row>
    <row r="292">
      <c r="D292" s="96"/>
    </row>
    <row r="293">
      <c r="D293" s="96"/>
    </row>
    <row r="294">
      <c r="D294" s="96"/>
    </row>
    <row r="295">
      <c r="D295" s="96"/>
    </row>
    <row r="296">
      <c r="D296" s="96"/>
    </row>
    <row r="297">
      <c r="D297" s="96"/>
    </row>
    <row r="298">
      <c r="D298" s="96"/>
    </row>
    <row r="299">
      <c r="D299" s="96"/>
    </row>
    <row r="300">
      <c r="D300" s="96"/>
    </row>
    <row r="301">
      <c r="D301" s="96"/>
    </row>
    <row r="302">
      <c r="D302" s="96"/>
    </row>
    <row r="303">
      <c r="D303" s="96"/>
    </row>
    <row r="304">
      <c r="D304" s="96"/>
    </row>
    <row r="305">
      <c r="D305" s="96"/>
    </row>
    <row r="306">
      <c r="D306" s="96"/>
    </row>
    <row r="307">
      <c r="D307" s="96"/>
    </row>
    <row r="308">
      <c r="D308" s="96"/>
    </row>
    <row r="309">
      <c r="D309" s="96"/>
    </row>
    <row r="310">
      <c r="D310" s="96"/>
    </row>
    <row r="311">
      <c r="D311" s="96"/>
    </row>
    <row r="312">
      <c r="D312" s="96"/>
    </row>
    <row r="313">
      <c r="D313" s="96"/>
    </row>
    <row r="314">
      <c r="D314" s="96"/>
    </row>
    <row r="315">
      <c r="D315" s="96"/>
    </row>
    <row r="316">
      <c r="D316" s="96"/>
    </row>
    <row r="317">
      <c r="D317" s="96"/>
    </row>
    <row r="318">
      <c r="D318" s="96"/>
    </row>
    <row r="319">
      <c r="D319" s="96"/>
    </row>
    <row r="320">
      <c r="D320" s="96"/>
    </row>
    <row r="321">
      <c r="D321" s="96"/>
    </row>
    <row r="322">
      <c r="D322" s="96"/>
    </row>
    <row r="323">
      <c r="D323" s="96"/>
    </row>
    <row r="324">
      <c r="D324" s="96"/>
    </row>
    <row r="325">
      <c r="D325" s="96"/>
    </row>
    <row r="326">
      <c r="D326" s="96"/>
    </row>
    <row r="327">
      <c r="D327" s="96"/>
    </row>
    <row r="328">
      <c r="D328" s="96"/>
    </row>
    <row r="329">
      <c r="D329" s="96"/>
    </row>
    <row r="330">
      <c r="D330" s="96"/>
    </row>
    <row r="331">
      <c r="D331" s="96"/>
    </row>
    <row r="332">
      <c r="D332" s="96"/>
    </row>
    <row r="333">
      <c r="D333" s="96"/>
    </row>
    <row r="334">
      <c r="D334" s="96"/>
    </row>
    <row r="335">
      <c r="D335" s="96"/>
    </row>
    <row r="336">
      <c r="D336" s="96"/>
    </row>
    <row r="337">
      <c r="D337" s="96"/>
    </row>
    <row r="338">
      <c r="D338" s="96"/>
    </row>
    <row r="339">
      <c r="D339" s="96"/>
    </row>
    <row r="340">
      <c r="D340" s="96"/>
    </row>
    <row r="341">
      <c r="D341" s="96"/>
    </row>
    <row r="342">
      <c r="D342" s="96"/>
    </row>
    <row r="343">
      <c r="D343" s="96"/>
    </row>
    <row r="344">
      <c r="D344" s="96"/>
    </row>
    <row r="345">
      <c r="D345" s="96"/>
    </row>
    <row r="346">
      <c r="D346" s="96"/>
    </row>
    <row r="347">
      <c r="D347" s="96"/>
    </row>
    <row r="348">
      <c r="D348" s="96"/>
    </row>
    <row r="349">
      <c r="D349" s="96"/>
    </row>
    <row r="350">
      <c r="D350" s="96"/>
    </row>
    <row r="351">
      <c r="D351" s="96"/>
    </row>
    <row r="352">
      <c r="D352" s="96"/>
    </row>
    <row r="353">
      <c r="D353" s="96"/>
    </row>
    <row r="354">
      <c r="D354" s="96"/>
    </row>
    <row r="355">
      <c r="D355" s="96"/>
    </row>
    <row r="356">
      <c r="D356" s="96"/>
    </row>
    <row r="357">
      <c r="D357" s="96"/>
    </row>
    <row r="358">
      <c r="D358" s="96"/>
    </row>
    <row r="359">
      <c r="D359" s="96"/>
    </row>
    <row r="360">
      <c r="D360" s="96"/>
    </row>
    <row r="361">
      <c r="D361" s="96"/>
    </row>
    <row r="362">
      <c r="D362" s="96"/>
    </row>
    <row r="363">
      <c r="D363" s="96"/>
    </row>
    <row r="364">
      <c r="D364" s="96"/>
    </row>
    <row r="365">
      <c r="D365" s="96"/>
    </row>
    <row r="366">
      <c r="D366" s="96"/>
    </row>
    <row r="367">
      <c r="D367" s="96"/>
    </row>
    <row r="368">
      <c r="D368" s="96"/>
    </row>
    <row r="369">
      <c r="D369" s="96"/>
    </row>
    <row r="370">
      <c r="D370" s="96"/>
    </row>
    <row r="371">
      <c r="D371" s="96"/>
    </row>
    <row r="372">
      <c r="D372" s="96"/>
    </row>
    <row r="373">
      <c r="D373" s="96"/>
    </row>
    <row r="374">
      <c r="D374" s="96"/>
    </row>
    <row r="375">
      <c r="D375" s="96"/>
    </row>
    <row r="376">
      <c r="D376" s="96"/>
    </row>
    <row r="377">
      <c r="D377" s="96"/>
    </row>
    <row r="378">
      <c r="D378" s="96"/>
    </row>
    <row r="379">
      <c r="D379" s="96"/>
    </row>
    <row r="380">
      <c r="D380" s="96"/>
    </row>
    <row r="381">
      <c r="D381" s="96"/>
    </row>
    <row r="382">
      <c r="D382" s="96"/>
    </row>
    <row r="383">
      <c r="D383" s="96"/>
    </row>
    <row r="384">
      <c r="D384" s="96"/>
    </row>
    <row r="385">
      <c r="D385" s="96"/>
    </row>
    <row r="386">
      <c r="D386" s="96"/>
    </row>
    <row r="387">
      <c r="D387" s="96"/>
    </row>
    <row r="388">
      <c r="D388" s="96"/>
    </row>
    <row r="389">
      <c r="D389" s="96"/>
    </row>
    <row r="390">
      <c r="D390" s="96"/>
    </row>
    <row r="391">
      <c r="D391" s="96"/>
    </row>
    <row r="392">
      <c r="D392" s="96"/>
    </row>
    <row r="393">
      <c r="D393" s="96"/>
    </row>
    <row r="394">
      <c r="D394" s="96"/>
    </row>
    <row r="395">
      <c r="D395" s="96"/>
    </row>
    <row r="396">
      <c r="D396" s="96"/>
    </row>
    <row r="397">
      <c r="D397" s="96"/>
    </row>
    <row r="398">
      <c r="D398" s="96"/>
    </row>
    <row r="399">
      <c r="D399" s="96"/>
    </row>
    <row r="400">
      <c r="D400" s="96"/>
    </row>
    <row r="401">
      <c r="D401" s="96"/>
    </row>
    <row r="402">
      <c r="D402" s="96"/>
    </row>
    <row r="403">
      <c r="D403" s="96"/>
    </row>
    <row r="404">
      <c r="D404" s="96"/>
    </row>
    <row r="405">
      <c r="D405" s="96"/>
    </row>
    <row r="406">
      <c r="D406" s="96"/>
    </row>
    <row r="407">
      <c r="D407" s="96"/>
    </row>
    <row r="408">
      <c r="D408" s="96"/>
    </row>
    <row r="409">
      <c r="D409" s="96"/>
    </row>
    <row r="410">
      <c r="D410" s="96"/>
    </row>
    <row r="411">
      <c r="D411" s="96"/>
    </row>
    <row r="412">
      <c r="D412" s="96"/>
    </row>
    <row r="413">
      <c r="D413" s="96"/>
    </row>
    <row r="414">
      <c r="D414" s="96"/>
    </row>
    <row r="415">
      <c r="D415" s="96"/>
    </row>
    <row r="416">
      <c r="D416" s="96"/>
    </row>
    <row r="417">
      <c r="D417" s="96"/>
    </row>
    <row r="418">
      <c r="D418" s="96"/>
    </row>
    <row r="419">
      <c r="D419" s="96"/>
    </row>
    <row r="420">
      <c r="D420" s="96"/>
    </row>
    <row r="421">
      <c r="D421" s="96"/>
    </row>
    <row r="422">
      <c r="D422" s="96"/>
    </row>
    <row r="423">
      <c r="D423" s="96"/>
    </row>
    <row r="424">
      <c r="D424" s="96"/>
    </row>
    <row r="425">
      <c r="D425" s="96"/>
    </row>
    <row r="426">
      <c r="D426" s="96"/>
    </row>
    <row r="427">
      <c r="D427" s="96"/>
    </row>
    <row r="428">
      <c r="D428" s="96"/>
    </row>
    <row r="429">
      <c r="D429" s="96"/>
    </row>
    <row r="430">
      <c r="D430" s="96"/>
    </row>
    <row r="431">
      <c r="D431" s="96"/>
    </row>
    <row r="432">
      <c r="D432" s="96"/>
    </row>
    <row r="433">
      <c r="D433" s="96"/>
    </row>
    <row r="434">
      <c r="D434" s="96"/>
    </row>
    <row r="435">
      <c r="D435" s="96"/>
    </row>
    <row r="436">
      <c r="D436" s="96"/>
    </row>
    <row r="437">
      <c r="D437" s="96"/>
    </row>
    <row r="438">
      <c r="D438" s="96"/>
    </row>
    <row r="439">
      <c r="D439" s="96"/>
    </row>
    <row r="440">
      <c r="D440" s="96"/>
    </row>
    <row r="441">
      <c r="D441" s="96"/>
    </row>
    <row r="442">
      <c r="D442" s="96"/>
    </row>
    <row r="443">
      <c r="D443" s="96"/>
    </row>
    <row r="444">
      <c r="D444" s="96"/>
    </row>
    <row r="445">
      <c r="D445" s="96"/>
    </row>
    <row r="446">
      <c r="D446" s="96"/>
    </row>
    <row r="447">
      <c r="D447" s="96"/>
    </row>
    <row r="448">
      <c r="D448" s="96"/>
    </row>
    <row r="449">
      <c r="D449" s="96"/>
    </row>
    <row r="450">
      <c r="D450" s="96"/>
    </row>
    <row r="451">
      <c r="D451" s="96"/>
    </row>
    <row r="452">
      <c r="D452" s="96"/>
    </row>
    <row r="453">
      <c r="D453" s="96"/>
    </row>
    <row r="454">
      <c r="D454" s="96"/>
    </row>
    <row r="455">
      <c r="D455" s="96"/>
    </row>
    <row r="456">
      <c r="D456" s="96"/>
    </row>
    <row r="457">
      <c r="D457" s="96"/>
    </row>
    <row r="458">
      <c r="D458" s="96"/>
    </row>
    <row r="459">
      <c r="D459" s="96"/>
    </row>
    <row r="460">
      <c r="D460" s="96"/>
    </row>
    <row r="461">
      <c r="D461" s="96"/>
    </row>
    <row r="462">
      <c r="D462" s="96"/>
    </row>
    <row r="463">
      <c r="D463" s="96"/>
    </row>
    <row r="464">
      <c r="D464" s="96"/>
    </row>
    <row r="465">
      <c r="D465" s="96"/>
    </row>
    <row r="466">
      <c r="D466" s="96"/>
    </row>
    <row r="467">
      <c r="D467" s="96"/>
    </row>
    <row r="468">
      <c r="D468" s="96"/>
    </row>
    <row r="469">
      <c r="D469" s="96"/>
    </row>
    <row r="470">
      <c r="D470" s="96"/>
    </row>
    <row r="471">
      <c r="D471" s="96"/>
    </row>
    <row r="472">
      <c r="D472" s="96"/>
    </row>
    <row r="473">
      <c r="D473" s="96"/>
    </row>
    <row r="474">
      <c r="D474" s="96"/>
    </row>
    <row r="475">
      <c r="D475" s="96"/>
    </row>
    <row r="476">
      <c r="D476" s="96"/>
    </row>
    <row r="477">
      <c r="D477" s="96"/>
    </row>
    <row r="478">
      <c r="D478" s="96"/>
    </row>
    <row r="479">
      <c r="D479" s="96"/>
    </row>
    <row r="480">
      <c r="D480" s="96"/>
    </row>
    <row r="481">
      <c r="D481" s="96"/>
    </row>
    <row r="482">
      <c r="D482" s="96"/>
    </row>
    <row r="483">
      <c r="D483" s="96"/>
    </row>
    <row r="484">
      <c r="D484" s="96"/>
    </row>
    <row r="485">
      <c r="D485" s="96"/>
    </row>
    <row r="486">
      <c r="D486" s="96"/>
    </row>
    <row r="487">
      <c r="D487" s="96"/>
    </row>
    <row r="488">
      <c r="D488" s="96"/>
    </row>
    <row r="489">
      <c r="D489" s="96"/>
    </row>
    <row r="490">
      <c r="D490" s="96"/>
    </row>
    <row r="491">
      <c r="D491" s="96"/>
    </row>
    <row r="492">
      <c r="D492" s="96"/>
    </row>
    <row r="493">
      <c r="D493" s="96"/>
    </row>
    <row r="494">
      <c r="D494" s="96"/>
    </row>
    <row r="495">
      <c r="D495" s="96"/>
    </row>
    <row r="496">
      <c r="D496" s="96"/>
    </row>
    <row r="497">
      <c r="D497" s="96"/>
    </row>
    <row r="498">
      <c r="D498" s="96"/>
    </row>
    <row r="499">
      <c r="D499" s="96"/>
    </row>
    <row r="500">
      <c r="D500" s="96"/>
    </row>
    <row r="501">
      <c r="D501" s="96"/>
    </row>
    <row r="502">
      <c r="D502" s="96"/>
    </row>
    <row r="503">
      <c r="D503" s="96"/>
    </row>
    <row r="504">
      <c r="D504" s="96"/>
    </row>
    <row r="505">
      <c r="D505" s="96"/>
    </row>
    <row r="506">
      <c r="D506" s="96"/>
    </row>
    <row r="507">
      <c r="D507" s="96"/>
    </row>
    <row r="508">
      <c r="D508" s="96"/>
    </row>
    <row r="509">
      <c r="D509" s="96"/>
    </row>
    <row r="510">
      <c r="D510" s="96"/>
    </row>
    <row r="511">
      <c r="D511" s="96"/>
    </row>
    <row r="512">
      <c r="D512" s="96"/>
    </row>
    <row r="513">
      <c r="D513" s="96"/>
    </row>
    <row r="514">
      <c r="D514" s="96"/>
    </row>
    <row r="515">
      <c r="D515" s="96"/>
    </row>
    <row r="516">
      <c r="D516" s="96"/>
    </row>
    <row r="517">
      <c r="D517" s="96"/>
    </row>
    <row r="518">
      <c r="D518" s="96"/>
    </row>
    <row r="519">
      <c r="D519" s="96"/>
    </row>
    <row r="520">
      <c r="D520" s="96"/>
    </row>
    <row r="521">
      <c r="D521" s="96"/>
    </row>
    <row r="522">
      <c r="D522" s="96"/>
    </row>
    <row r="523">
      <c r="D523" s="96"/>
    </row>
    <row r="524">
      <c r="D524" s="96"/>
    </row>
    <row r="525">
      <c r="D525" s="96"/>
    </row>
    <row r="526">
      <c r="D526" s="96"/>
    </row>
    <row r="527">
      <c r="D527" s="96"/>
    </row>
    <row r="528">
      <c r="D528" s="96"/>
    </row>
    <row r="529">
      <c r="D529" s="96"/>
    </row>
    <row r="530">
      <c r="D530" s="96"/>
    </row>
    <row r="531">
      <c r="D531" s="96"/>
    </row>
    <row r="532">
      <c r="D532" s="96"/>
    </row>
    <row r="533">
      <c r="D533" s="96"/>
    </row>
    <row r="534">
      <c r="D534" s="96"/>
    </row>
    <row r="535">
      <c r="D535" s="96"/>
    </row>
    <row r="536">
      <c r="D536" s="96"/>
    </row>
    <row r="537">
      <c r="D537" s="96"/>
    </row>
    <row r="538">
      <c r="D538" s="96"/>
    </row>
    <row r="539">
      <c r="D539" s="96"/>
    </row>
    <row r="540">
      <c r="D540" s="96"/>
    </row>
    <row r="541">
      <c r="D541" s="96"/>
    </row>
    <row r="542">
      <c r="D542" s="96"/>
    </row>
    <row r="543">
      <c r="D543" s="96"/>
    </row>
    <row r="544">
      <c r="D544" s="96"/>
    </row>
    <row r="545">
      <c r="D545" s="96"/>
    </row>
    <row r="546">
      <c r="D546" s="96"/>
    </row>
    <row r="547">
      <c r="D547" s="96"/>
    </row>
    <row r="548">
      <c r="D548" s="96"/>
    </row>
    <row r="549">
      <c r="D549" s="96"/>
    </row>
    <row r="550">
      <c r="D550" s="96"/>
    </row>
    <row r="551">
      <c r="D551" s="96"/>
    </row>
    <row r="552">
      <c r="D552" s="96"/>
    </row>
    <row r="553">
      <c r="D553" s="96"/>
    </row>
    <row r="554">
      <c r="D554" s="96"/>
    </row>
    <row r="555">
      <c r="D555" s="96"/>
    </row>
    <row r="556">
      <c r="D556" s="96"/>
    </row>
    <row r="557">
      <c r="D557" s="96"/>
    </row>
    <row r="558">
      <c r="D558" s="96"/>
    </row>
    <row r="559">
      <c r="D559" s="96"/>
    </row>
    <row r="560">
      <c r="D560" s="96"/>
    </row>
    <row r="561">
      <c r="D561" s="96"/>
    </row>
    <row r="562">
      <c r="D562" s="96"/>
    </row>
    <row r="563">
      <c r="D563" s="96"/>
    </row>
    <row r="564">
      <c r="D564" s="96"/>
    </row>
    <row r="565">
      <c r="D565" s="96"/>
    </row>
    <row r="566">
      <c r="D566" s="96"/>
    </row>
    <row r="567">
      <c r="D567" s="96"/>
    </row>
    <row r="568">
      <c r="D568" s="96"/>
    </row>
    <row r="569">
      <c r="D569" s="96"/>
    </row>
    <row r="570">
      <c r="D570" s="96"/>
    </row>
    <row r="571">
      <c r="D571" s="96"/>
    </row>
    <row r="572">
      <c r="D572" s="96"/>
    </row>
    <row r="573">
      <c r="D573" s="96"/>
    </row>
    <row r="574">
      <c r="D574" s="96"/>
    </row>
    <row r="575">
      <c r="D575" s="96"/>
    </row>
    <row r="576">
      <c r="D576" s="96"/>
    </row>
    <row r="577">
      <c r="D577" s="96"/>
    </row>
    <row r="578">
      <c r="D578" s="96"/>
    </row>
    <row r="579">
      <c r="D579" s="96"/>
    </row>
    <row r="580">
      <c r="D580" s="96"/>
    </row>
    <row r="581">
      <c r="D581" s="96"/>
    </row>
    <row r="582">
      <c r="D582" s="96"/>
    </row>
    <row r="583">
      <c r="D583" s="96"/>
    </row>
    <row r="584">
      <c r="D584" s="96"/>
    </row>
    <row r="585">
      <c r="D585" s="96"/>
    </row>
    <row r="586">
      <c r="D586" s="96"/>
    </row>
    <row r="587">
      <c r="D587" s="96"/>
    </row>
    <row r="588">
      <c r="D588" s="96"/>
    </row>
    <row r="589">
      <c r="D589" s="96"/>
    </row>
    <row r="590">
      <c r="D590" s="96"/>
    </row>
    <row r="591">
      <c r="D591" s="96"/>
    </row>
    <row r="592">
      <c r="D592" s="96"/>
    </row>
    <row r="593">
      <c r="D593" s="96"/>
    </row>
    <row r="594">
      <c r="D594" s="96"/>
    </row>
    <row r="595">
      <c r="D595" s="96"/>
    </row>
    <row r="596">
      <c r="D596" s="96"/>
    </row>
    <row r="597">
      <c r="D597" s="96"/>
    </row>
    <row r="598">
      <c r="D598" s="96"/>
    </row>
    <row r="599">
      <c r="D599" s="96"/>
    </row>
    <row r="600">
      <c r="D600" s="96"/>
    </row>
    <row r="601">
      <c r="D601" s="96"/>
    </row>
    <row r="602">
      <c r="D602" s="96"/>
    </row>
    <row r="603">
      <c r="D603" s="96"/>
    </row>
    <row r="604">
      <c r="D604" s="96"/>
    </row>
    <row r="605">
      <c r="D605" s="96"/>
    </row>
    <row r="606">
      <c r="D606" s="96"/>
    </row>
    <row r="607">
      <c r="D607" s="96"/>
    </row>
    <row r="608">
      <c r="D608" s="96"/>
    </row>
    <row r="609">
      <c r="D609" s="96"/>
    </row>
    <row r="610">
      <c r="D610" s="96"/>
    </row>
    <row r="611">
      <c r="D611" s="96"/>
    </row>
    <row r="612">
      <c r="D612" s="96"/>
    </row>
    <row r="613">
      <c r="D613" s="96"/>
    </row>
    <row r="614">
      <c r="D614" s="96"/>
    </row>
    <row r="615">
      <c r="D615" s="96"/>
    </row>
    <row r="616">
      <c r="D616" s="96"/>
    </row>
    <row r="617">
      <c r="D617" s="96"/>
    </row>
    <row r="618">
      <c r="D618" s="96"/>
    </row>
    <row r="619">
      <c r="D619" s="96"/>
    </row>
    <row r="620">
      <c r="D620" s="96"/>
    </row>
    <row r="621">
      <c r="D621" s="96"/>
    </row>
    <row r="622">
      <c r="D622" s="96"/>
    </row>
    <row r="623">
      <c r="D623" s="96"/>
    </row>
    <row r="624">
      <c r="D624" s="96"/>
    </row>
    <row r="625">
      <c r="D625" s="96"/>
    </row>
    <row r="626">
      <c r="D626" s="96"/>
    </row>
    <row r="627">
      <c r="D627" s="96"/>
    </row>
    <row r="628">
      <c r="D628" s="96"/>
    </row>
    <row r="629">
      <c r="D629" s="96"/>
    </row>
    <row r="630">
      <c r="D630" s="96"/>
    </row>
    <row r="631">
      <c r="D631" s="96"/>
    </row>
    <row r="632">
      <c r="D632" s="96"/>
    </row>
    <row r="633">
      <c r="D633" s="96"/>
    </row>
    <row r="634">
      <c r="D634" s="96"/>
    </row>
    <row r="635">
      <c r="D635" s="96"/>
    </row>
    <row r="636">
      <c r="D636" s="96"/>
    </row>
    <row r="637">
      <c r="D637" s="96"/>
    </row>
    <row r="638">
      <c r="D638" s="96"/>
    </row>
    <row r="639">
      <c r="D639" s="96"/>
    </row>
    <row r="640">
      <c r="D640" s="96"/>
    </row>
    <row r="641">
      <c r="D641" s="96"/>
    </row>
    <row r="642">
      <c r="D642" s="96"/>
    </row>
    <row r="643">
      <c r="D643" s="96"/>
    </row>
    <row r="644">
      <c r="D644" s="96"/>
    </row>
    <row r="645">
      <c r="D645" s="96"/>
    </row>
    <row r="646">
      <c r="D646" s="96"/>
    </row>
    <row r="647">
      <c r="D647" s="96"/>
    </row>
    <row r="648">
      <c r="D648" s="96"/>
    </row>
    <row r="649">
      <c r="D649" s="96"/>
    </row>
    <row r="650">
      <c r="D650" s="96"/>
    </row>
    <row r="651">
      <c r="D651" s="96"/>
    </row>
    <row r="652">
      <c r="D652" s="96"/>
    </row>
    <row r="653">
      <c r="D653" s="96"/>
    </row>
    <row r="654">
      <c r="D654" s="96"/>
    </row>
    <row r="655">
      <c r="D655" s="96"/>
    </row>
    <row r="656">
      <c r="D656" s="96"/>
    </row>
    <row r="657">
      <c r="D657" s="96"/>
    </row>
    <row r="658">
      <c r="D658" s="96"/>
    </row>
    <row r="659">
      <c r="D659" s="96"/>
    </row>
    <row r="660">
      <c r="D660" s="96"/>
    </row>
    <row r="661">
      <c r="D661" s="96"/>
    </row>
    <row r="662">
      <c r="D662" s="96"/>
    </row>
    <row r="663">
      <c r="D663" s="96"/>
    </row>
    <row r="664">
      <c r="D664" s="96"/>
    </row>
    <row r="665">
      <c r="D665" s="96"/>
    </row>
    <row r="666">
      <c r="D666" s="96"/>
    </row>
    <row r="667">
      <c r="D667" s="96"/>
    </row>
    <row r="668">
      <c r="D668" s="96"/>
    </row>
    <row r="669">
      <c r="D669" s="96"/>
    </row>
    <row r="670">
      <c r="D670" s="96"/>
    </row>
    <row r="671">
      <c r="D671" s="96"/>
    </row>
    <row r="672">
      <c r="D672" s="96"/>
    </row>
    <row r="673">
      <c r="D673" s="96"/>
    </row>
    <row r="674">
      <c r="D674" s="96"/>
    </row>
    <row r="675">
      <c r="D675" s="96"/>
    </row>
    <row r="676">
      <c r="D676" s="96"/>
    </row>
    <row r="677">
      <c r="D677" s="96"/>
    </row>
    <row r="678">
      <c r="D678" s="96"/>
    </row>
    <row r="679">
      <c r="D679" s="96"/>
    </row>
    <row r="680">
      <c r="D680" s="96"/>
    </row>
    <row r="681">
      <c r="D681" s="96"/>
    </row>
    <row r="682">
      <c r="D682" s="96"/>
    </row>
    <row r="683">
      <c r="D683" s="96"/>
    </row>
    <row r="684">
      <c r="D684" s="96"/>
    </row>
    <row r="685">
      <c r="D685" s="96"/>
    </row>
    <row r="686">
      <c r="D686" s="96"/>
    </row>
    <row r="687">
      <c r="D687" s="96"/>
    </row>
    <row r="688">
      <c r="D688" s="96"/>
    </row>
    <row r="689">
      <c r="D689" s="96"/>
    </row>
    <row r="690">
      <c r="D690" s="96"/>
    </row>
    <row r="691">
      <c r="D691" s="96"/>
    </row>
    <row r="692">
      <c r="D692" s="96"/>
    </row>
    <row r="693">
      <c r="D693" s="96"/>
    </row>
    <row r="694">
      <c r="D694" s="96"/>
    </row>
    <row r="695">
      <c r="D695" s="96"/>
    </row>
    <row r="696">
      <c r="D696" s="96"/>
    </row>
    <row r="697">
      <c r="D697" s="96"/>
    </row>
    <row r="698">
      <c r="D698" s="96"/>
    </row>
    <row r="699">
      <c r="D699" s="96"/>
    </row>
    <row r="700">
      <c r="D700" s="96"/>
    </row>
    <row r="701">
      <c r="D701" s="96"/>
    </row>
    <row r="702">
      <c r="D702" s="96"/>
    </row>
    <row r="703">
      <c r="D703" s="96"/>
    </row>
    <row r="704">
      <c r="D704" s="96"/>
    </row>
    <row r="705">
      <c r="D705" s="96"/>
    </row>
    <row r="706">
      <c r="D706" s="96"/>
    </row>
    <row r="707">
      <c r="D707" s="96"/>
    </row>
    <row r="708">
      <c r="D708" s="96"/>
    </row>
    <row r="709">
      <c r="D709" s="96"/>
    </row>
    <row r="710">
      <c r="D710" s="96"/>
    </row>
    <row r="711">
      <c r="D711" s="96"/>
    </row>
    <row r="712">
      <c r="D712" s="96"/>
    </row>
    <row r="713">
      <c r="D713" s="96"/>
    </row>
    <row r="714">
      <c r="D714" s="96"/>
    </row>
    <row r="715">
      <c r="D715" s="96"/>
    </row>
    <row r="716">
      <c r="D716" s="96"/>
    </row>
    <row r="717">
      <c r="D717" s="96"/>
    </row>
    <row r="718">
      <c r="D718" s="96"/>
    </row>
    <row r="719">
      <c r="D719" s="96"/>
    </row>
    <row r="720">
      <c r="D720" s="96"/>
    </row>
    <row r="721">
      <c r="D721" s="96"/>
    </row>
    <row r="722">
      <c r="D722" s="96"/>
    </row>
    <row r="723">
      <c r="D723" s="96"/>
    </row>
    <row r="724">
      <c r="D724" s="96"/>
    </row>
    <row r="725">
      <c r="D725" s="96"/>
    </row>
    <row r="726">
      <c r="D726" s="96"/>
    </row>
    <row r="727">
      <c r="D727" s="96"/>
    </row>
    <row r="728">
      <c r="D728" s="96"/>
    </row>
    <row r="729">
      <c r="D729" s="96"/>
    </row>
    <row r="730">
      <c r="D730" s="96"/>
    </row>
    <row r="731">
      <c r="D731" s="96"/>
    </row>
    <row r="732">
      <c r="D732" s="96"/>
    </row>
    <row r="733">
      <c r="D733" s="96"/>
    </row>
    <row r="734">
      <c r="D734" s="96"/>
    </row>
    <row r="735">
      <c r="D735" s="96"/>
    </row>
    <row r="736">
      <c r="D736" s="96"/>
    </row>
    <row r="737">
      <c r="D737" s="96"/>
    </row>
    <row r="738">
      <c r="D738" s="96"/>
    </row>
    <row r="739">
      <c r="D739" s="96"/>
    </row>
    <row r="740">
      <c r="D740" s="96"/>
    </row>
    <row r="741">
      <c r="D741" s="96"/>
    </row>
    <row r="742">
      <c r="D742" s="96"/>
    </row>
    <row r="743">
      <c r="D743" s="96"/>
    </row>
    <row r="744">
      <c r="D744" s="96"/>
    </row>
    <row r="745">
      <c r="D745" s="96"/>
    </row>
    <row r="746">
      <c r="D746" s="96"/>
    </row>
    <row r="747">
      <c r="D747" s="96"/>
    </row>
    <row r="748">
      <c r="D748" s="96"/>
    </row>
    <row r="749">
      <c r="D749" s="96"/>
    </row>
    <row r="750">
      <c r="D750" s="96"/>
    </row>
    <row r="751">
      <c r="D751" s="96"/>
    </row>
    <row r="752">
      <c r="D752" s="96"/>
    </row>
    <row r="753">
      <c r="D753" s="96"/>
    </row>
    <row r="754">
      <c r="D754" s="96"/>
    </row>
    <row r="755">
      <c r="D755" s="96"/>
    </row>
    <row r="756">
      <c r="D756" s="96"/>
    </row>
    <row r="757">
      <c r="D757" s="96"/>
    </row>
    <row r="758">
      <c r="D758" s="96"/>
    </row>
    <row r="759">
      <c r="D759" s="96"/>
    </row>
    <row r="760">
      <c r="D760" s="96"/>
    </row>
    <row r="761">
      <c r="D761" s="96"/>
    </row>
    <row r="762">
      <c r="D762" s="96"/>
    </row>
    <row r="763">
      <c r="D763" s="96"/>
    </row>
    <row r="764">
      <c r="D764" s="96"/>
    </row>
    <row r="765">
      <c r="D765" s="96"/>
    </row>
    <row r="766">
      <c r="D766" s="96"/>
    </row>
    <row r="767">
      <c r="D767" s="96"/>
    </row>
    <row r="768">
      <c r="D768" s="96"/>
    </row>
    <row r="769">
      <c r="D769" s="96"/>
    </row>
    <row r="770">
      <c r="D770" s="96"/>
    </row>
    <row r="771">
      <c r="D771" s="96"/>
    </row>
    <row r="772">
      <c r="D772" s="96"/>
    </row>
    <row r="773">
      <c r="D773" s="96"/>
    </row>
    <row r="774">
      <c r="D774" s="96"/>
    </row>
    <row r="775">
      <c r="D775" s="96"/>
    </row>
    <row r="776">
      <c r="D776" s="96"/>
    </row>
    <row r="777">
      <c r="D777" s="96"/>
    </row>
    <row r="778">
      <c r="D778" s="96"/>
    </row>
    <row r="779">
      <c r="D779" s="96"/>
    </row>
    <row r="780">
      <c r="D780" s="96"/>
    </row>
    <row r="781">
      <c r="D781" s="96"/>
    </row>
    <row r="782">
      <c r="D782" s="96"/>
    </row>
    <row r="783">
      <c r="D783" s="96"/>
    </row>
    <row r="784">
      <c r="D784" s="96"/>
    </row>
    <row r="785">
      <c r="D785" s="96"/>
    </row>
    <row r="786">
      <c r="D786" s="96"/>
    </row>
    <row r="787">
      <c r="D787" s="96"/>
    </row>
    <row r="788">
      <c r="D788" s="96"/>
    </row>
    <row r="789">
      <c r="D789" s="96"/>
    </row>
    <row r="790">
      <c r="D790" s="96"/>
    </row>
    <row r="791">
      <c r="D791" s="96"/>
    </row>
    <row r="792">
      <c r="D792" s="96"/>
    </row>
    <row r="793">
      <c r="D793" s="96"/>
    </row>
    <row r="794">
      <c r="D794" s="96"/>
    </row>
    <row r="795">
      <c r="D795" s="96"/>
    </row>
    <row r="796">
      <c r="D796" s="96"/>
    </row>
    <row r="797">
      <c r="D797" s="96"/>
    </row>
    <row r="798">
      <c r="D798" s="96"/>
    </row>
    <row r="799">
      <c r="D799" s="96"/>
    </row>
    <row r="800">
      <c r="D800" s="96"/>
    </row>
    <row r="801">
      <c r="D801" s="96"/>
    </row>
    <row r="802">
      <c r="D802" s="96"/>
    </row>
    <row r="803">
      <c r="D803" s="96"/>
    </row>
    <row r="804">
      <c r="D804" s="96"/>
    </row>
    <row r="805">
      <c r="D805" s="96"/>
    </row>
    <row r="806">
      <c r="D806" s="96"/>
    </row>
    <row r="807">
      <c r="D807" s="96"/>
    </row>
    <row r="808">
      <c r="D808" s="96"/>
    </row>
    <row r="809">
      <c r="D809" s="96"/>
    </row>
    <row r="810">
      <c r="D810" s="96"/>
    </row>
    <row r="811">
      <c r="D811" s="96"/>
    </row>
    <row r="812">
      <c r="D812" s="96"/>
    </row>
    <row r="813">
      <c r="D813" s="96"/>
    </row>
    <row r="814">
      <c r="D814" s="96"/>
    </row>
    <row r="815">
      <c r="D815" s="96"/>
    </row>
    <row r="816">
      <c r="D816" s="96"/>
    </row>
    <row r="817">
      <c r="D817" s="96"/>
    </row>
    <row r="818">
      <c r="D818" s="96"/>
    </row>
    <row r="819">
      <c r="D819" s="96"/>
    </row>
    <row r="820">
      <c r="D820" s="96"/>
    </row>
    <row r="821">
      <c r="D821" s="96"/>
    </row>
    <row r="822">
      <c r="D822" s="96"/>
    </row>
    <row r="823">
      <c r="D823" s="96"/>
    </row>
    <row r="824">
      <c r="D824" s="96"/>
    </row>
    <row r="825">
      <c r="D825" s="96"/>
    </row>
    <row r="826">
      <c r="D826" s="96"/>
    </row>
    <row r="827">
      <c r="D827" s="96"/>
    </row>
    <row r="828">
      <c r="D828" s="96"/>
    </row>
    <row r="829">
      <c r="D829" s="96"/>
    </row>
    <row r="830">
      <c r="D830" s="96"/>
    </row>
    <row r="831">
      <c r="D831" s="96"/>
    </row>
    <row r="832">
      <c r="D832" s="96"/>
    </row>
    <row r="833">
      <c r="D833" s="96"/>
    </row>
    <row r="834">
      <c r="D834" s="96"/>
    </row>
    <row r="835">
      <c r="D835" s="96"/>
    </row>
    <row r="836">
      <c r="D836" s="96"/>
    </row>
    <row r="837">
      <c r="D837" s="96"/>
    </row>
    <row r="838">
      <c r="D838" s="96"/>
    </row>
    <row r="839">
      <c r="D839" s="96"/>
    </row>
    <row r="840">
      <c r="D840" s="96"/>
    </row>
    <row r="841">
      <c r="D841" s="96"/>
    </row>
    <row r="842">
      <c r="D842" s="96"/>
    </row>
    <row r="843">
      <c r="D843" s="96"/>
    </row>
    <row r="844">
      <c r="D844" s="96"/>
    </row>
    <row r="845">
      <c r="D845" s="96"/>
    </row>
    <row r="846">
      <c r="D846" s="96"/>
    </row>
    <row r="847">
      <c r="D847" s="96"/>
    </row>
    <row r="848">
      <c r="D848" s="96"/>
    </row>
    <row r="849">
      <c r="D849" s="96"/>
    </row>
    <row r="850">
      <c r="D850" s="96"/>
    </row>
    <row r="851">
      <c r="D851" s="96"/>
    </row>
    <row r="852">
      <c r="D852" s="96"/>
    </row>
    <row r="853">
      <c r="D853" s="96"/>
    </row>
    <row r="854">
      <c r="D854" s="96"/>
    </row>
    <row r="855">
      <c r="D855" s="96"/>
    </row>
    <row r="856">
      <c r="D856" s="96"/>
    </row>
    <row r="857">
      <c r="D857" s="96"/>
    </row>
    <row r="858">
      <c r="D858" s="96"/>
    </row>
    <row r="859">
      <c r="D859" s="96"/>
    </row>
    <row r="860">
      <c r="D860" s="96"/>
    </row>
    <row r="861">
      <c r="D861" s="96"/>
    </row>
    <row r="862">
      <c r="D862" s="96"/>
    </row>
    <row r="863">
      <c r="D863" s="96"/>
    </row>
    <row r="864">
      <c r="D864" s="96"/>
    </row>
    <row r="865">
      <c r="D865" s="96"/>
    </row>
    <row r="866">
      <c r="D866" s="96"/>
    </row>
    <row r="867">
      <c r="D867" s="96"/>
    </row>
    <row r="868">
      <c r="D868" s="96"/>
    </row>
    <row r="869">
      <c r="D869" s="96"/>
    </row>
    <row r="870">
      <c r="D870" s="96"/>
    </row>
    <row r="871">
      <c r="D871" s="96"/>
    </row>
    <row r="872">
      <c r="D872" s="96"/>
    </row>
    <row r="873">
      <c r="D873" s="96"/>
    </row>
    <row r="874">
      <c r="D874" s="96"/>
    </row>
    <row r="875">
      <c r="D875" s="96"/>
    </row>
    <row r="876">
      <c r="D876" s="96"/>
    </row>
    <row r="877">
      <c r="D877" s="96"/>
    </row>
    <row r="878">
      <c r="D878" s="96"/>
    </row>
    <row r="879">
      <c r="D879" s="96"/>
    </row>
    <row r="880">
      <c r="D880" s="96"/>
    </row>
    <row r="881">
      <c r="D881" s="96"/>
    </row>
    <row r="882">
      <c r="D882" s="96"/>
    </row>
    <row r="883">
      <c r="D883" s="96"/>
    </row>
    <row r="884">
      <c r="D884" s="96"/>
    </row>
    <row r="885">
      <c r="D885" s="96"/>
    </row>
    <row r="886">
      <c r="D886" s="96"/>
    </row>
    <row r="887">
      <c r="D887" s="96"/>
    </row>
    <row r="888">
      <c r="D888" s="96"/>
    </row>
    <row r="889">
      <c r="D889" s="96"/>
    </row>
    <row r="890">
      <c r="D890" s="96"/>
    </row>
    <row r="891">
      <c r="D891" s="96"/>
    </row>
    <row r="892">
      <c r="D892" s="96"/>
    </row>
    <row r="893">
      <c r="D893" s="96"/>
    </row>
    <row r="894">
      <c r="D894" s="96"/>
    </row>
    <row r="895">
      <c r="D895" s="96"/>
    </row>
    <row r="896">
      <c r="D896" s="96"/>
    </row>
    <row r="897">
      <c r="D897" s="96"/>
    </row>
    <row r="898">
      <c r="D898" s="96"/>
    </row>
    <row r="899">
      <c r="D899" s="96"/>
    </row>
    <row r="900">
      <c r="D900" s="96"/>
    </row>
    <row r="901">
      <c r="D901" s="96"/>
    </row>
    <row r="902">
      <c r="D902" s="96"/>
    </row>
    <row r="903">
      <c r="D903" s="96"/>
    </row>
    <row r="904">
      <c r="D904" s="96"/>
    </row>
    <row r="905">
      <c r="D905" s="96"/>
    </row>
    <row r="906">
      <c r="D906" s="96"/>
    </row>
    <row r="907">
      <c r="D907" s="96"/>
    </row>
    <row r="908">
      <c r="D908" s="96"/>
    </row>
    <row r="909">
      <c r="D909" s="96"/>
    </row>
    <row r="910">
      <c r="D910" s="96"/>
    </row>
    <row r="911">
      <c r="D911" s="96"/>
    </row>
    <row r="912">
      <c r="D912" s="96"/>
    </row>
    <row r="913">
      <c r="D913" s="96"/>
    </row>
    <row r="914">
      <c r="D914" s="96"/>
    </row>
    <row r="915">
      <c r="D915" s="96"/>
    </row>
    <row r="916">
      <c r="D916" s="96"/>
    </row>
    <row r="917">
      <c r="D917" s="96"/>
    </row>
    <row r="918">
      <c r="D918" s="96"/>
    </row>
    <row r="919">
      <c r="D919" s="96"/>
    </row>
    <row r="920">
      <c r="D920" s="96"/>
    </row>
    <row r="921">
      <c r="D921" s="96"/>
    </row>
    <row r="922">
      <c r="D922" s="96"/>
    </row>
    <row r="923">
      <c r="D923" s="96"/>
    </row>
    <row r="924">
      <c r="D924" s="96"/>
    </row>
    <row r="925">
      <c r="D925" s="96"/>
    </row>
    <row r="926">
      <c r="D926" s="96"/>
    </row>
    <row r="927">
      <c r="D927" s="96"/>
    </row>
    <row r="928">
      <c r="D928" s="96"/>
    </row>
    <row r="929">
      <c r="D929" s="96"/>
    </row>
    <row r="930">
      <c r="D930" s="96"/>
    </row>
    <row r="931">
      <c r="D931" s="96"/>
    </row>
    <row r="932">
      <c r="D932" s="96"/>
    </row>
    <row r="933">
      <c r="D933" s="96"/>
    </row>
    <row r="934">
      <c r="D934" s="96"/>
    </row>
    <row r="935">
      <c r="D935" s="96"/>
    </row>
    <row r="936">
      <c r="D936" s="96"/>
    </row>
    <row r="937">
      <c r="D937" s="96"/>
    </row>
    <row r="938">
      <c r="D938" s="96"/>
    </row>
    <row r="939">
      <c r="D939" s="96"/>
    </row>
    <row r="940">
      <c r="D940" s="96"/>
    </row>
    <row r="941">
      <c r="D941" s="96"/>
    </row>
    <row r="942">
      <c r="D942" s="96"/>
    </row>
    <row r="943">
      <c r="D943" s="96"/>
    </row>
    <row r="944">
      <c r="D944" s="96"/>
    </row>
    <row r="945">
      <c r="D945" s="96"/>
    </row>
    <row r="946">
      <c r="D946" s="96"/>
    </row>
    <row r="947">
      <c r="D947" s="96"/>
    </row>
    <row r="948">
      <c r="D948" s="96"/>
    </row>
    <row r="949">
      <c r="D949" s="96"/>
    </row>
    <row r="950">
      <c r="D950" s="96"/>
    </row>
    <row r="951">
      <c r="D951" s="96"/>
    </row>
    <row r="952">
      <c r="D952" s="96"/>
    </row>
    <row r="953">
      <c r="D953" s="96"/>
    </row>
    <row r="954">
      <c r="D954" s="96"/>
    </row>
    <row r="955">
      <c r="D955" s="96"/>
    </row>
    <row r="956">
      <c r="D956" s="96"/>
    </row>
    <row r="957">
      <c r="D957" s="96"/>
    </row>
    <row r="958">
      <c r="D958" s="96"/>
    </row>
    <row r="959">
      <c r="D959" s="96"/>
    </row>
    <row r="960">
      <c r="D960" s="96"/>
    </row>
    <row r="961">
      <c r="D961" s="96"/>
    </row>
    <row r="962">
      <c r="D962" s="96"/>
    </row>
    <row r="963">
      <c r="D963" s="96"/>
    </row>
    <row r="964">
      <c r="D964" s="96"/>
    </row>
    <row r="965">
      <c r="D965" s="96"/>
    </row>
    <row r="966">
      <c r="D966" s="96"/>
    </row>
    <row r="967">
      <c r="D967" s="96"/>
    </row>
    <row r="968">
      <c r="D968" s="96"/>
    </row>
    <row r="969">
      <c r="D969" s="96"/>
    </row>
    <row r="970">
      <c r="D970" s="96"/>
    </row>
    <row r="971">
      <c r="D971" s="96"/>
    </row>
    <row r="972">
      <c r="D972" s="96"/>
    </row>
    <row r="973">
      <c r="D973" s="96"/>
    </row>
    <row r="974">
      <c r="D974" s="96"/>
    </row>
    <row r="975">
      <c r="D975" s="96"/>
    </row>
    <row r="976">
      <c r="D976" s="96"/>
    </row>
    <row r="977">
      <c r="D977" s="96"/>
    </row>
    <row r="978">
      <c r="D978" s="96"/>
    </row>
    <row r="979">
      <c r="D979" s="96"/>
    </row>
    <row r="980">
      <c r="D980" s="96"/>
    </row>
    <row r="981">
      <c r="D981" s="96"/>
    </row>
    <row r="982">
      <c r="D982" s="96"/>
    </row>
    <row r="983">
      <c r="D983" s="96"/>
    </row>
    <row r="984">
      <c r="D984" s="96"/>
    </row>
    <row r="985">
      <c r="D985" s="96"/>
    </row>
    <row r="986">
      <c r="D986" s="96"/>
    </row>
    <row r="987">
      <c r="D987" s="96"/>
    </row>
    <row r="988">
      <c r="D988" s="96"/>
    </row>
    <row r="989">
      <c r="D989" s="96"/>
    </row>
    <row r="990">
      <c r="D990" s="96"/>
    </row>
    <row r="991">
      <c r="D991" s="96"/>
    </row>
    <row r="992">
      <c r="D992" s="96"/>
    </row>
    <row r="993">
      <c r="D993" s="96"/>
    </row>
    <row r="994">
      <c r="D994" s="96"/>
    </row>
    <row r="995">
      <c r="D995" s="96"/>
    </row>
    <row r="996">
      <c r="D996" s="96"/>
    </row>
    <row r="997">
      <c r="D997" s="96"/>
    </row>
    <row r="998">
      <c r="D998" s="96"/>
    </row>
    <row r="999">
      <c r="D999" s="96"/>
    </row>
    <row r="1000">
      <c r="D1000" s="96"/>
    </row>
  </sheetData>
  <conditionalFormatting sqref="B2:Q81">
    <cfRule type="expression" dxfId="0" priority="1">
      <formula>$B2=1</formula>
    </cfRule>
  </conditionalFormatting>
  <conditionalFormatting sqref="B2:Q81">
    <cfRule type="containsBlanks" dxfId="1" priority="2">
      <formula>LEN(TRIM(B2))=0</formula>
    </cfRule>
  </conditionalFormatting>
  <conditionalFormatting sqref="B2:Q81">
    <cfRule type="notContainsBlanks" dxfId="2" priority="3">
      <formula>LEN(TRIM(B2))&gt;0</formula>
    </cfRule>
  </conditionalFormatting>
  <dataValidations>
    <dataValidation type="list" allowBlank="1" showErrorMessage="1" sqref="B2:B81">
      <formula1>"Strength,Agility,Intelligence,Luck,Spirit,Endurance"</formula1>
    </dataValidation>
    <dataValidation type="list" allowBlank="1" showErrorMessage="1" sqref="E2:E81">
      <formula1>"Physical,Magic,Overall"</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2174</v>
      </c>
      <c r="B1" s="2" t="s">
        <v>2178</v>
      </c>
    </row>
    <row r="2">
      <c r="A2" s="85" t="s">
        <v>2184</v>
      </c>
      <c r="B2" s="11" t="s">
        <v>2182</v>
      </c>
    </row>
    <row r="3">
      <c r="A3" s="85" t="s">
        <v>2208</v>
      </c>
      <c r="B3" s="11" t="s">
        <v>193</v>
      </c>
    </row>
    <row r="4">
      <c r="A4" s="85" t="s">
        <v>2214</v>
      </c>
      <c r="B4" s="11" t="s">
        <v>193</v>
      </c>
    </row>
    <row r="5">
      <c r="A5" s="85" t="s">
        <v>2193</v>
      </c>
      <c r="B5" s="11" t="s">
        <v>2182</v>
      </c>
    </row>
    <row r="6">
      <c r="A6" s="85" t="s">
        <v>2190</v>
      </c>
      <c r="B6" s="11" t="s">
        <v>2182</v>
      </c>
    </row>
    <row r="7">
      <c r="A7" s="85" t="s">
        <v>2212</v>
      </c>
      <c r="B7" s="11" t="s">
        <v>2182</v>
      </c>
    </row>
    <row r="8">
      <c r="A8" s="85" t="s">
        <v>2199</v>
      </c>
      <c r="B8" s="11" t="s">
        <v>2182</v>
      </c>
    </row>
    <row r="9">
      <c r="A9" s="85" t="s">
        <v>2197</v>
      </c>
      <c r="B9" s="11" t="s">
        <v>523</v>
      </c>
    </row>
    <row r="10">
      <c r="A10" s="85" t="s">
        <v>2210</v>
      </c>
      <c r="B10" s="11" t="s">
        <v>2182</v>
      </c>
    </row>
    <row r="11">
      <c r="A11" s="85" t="s">
        <v>2219</v>
      </c>
      <c r="B11" s="11" t="s">
        <v>523</v>
      </c>
    </row>
    <row r="12">
      <c r="A12" s="85" t="s">
        <v>2181</v>
      </c>
      <c r="B12" s="11" t="s">
        <v>2182</v>
      </c>
    </row>
    <row r="13">
      <c r="A13" s="85" t="s">
        <v>2221</v>
      </c>
      <c r="B13" s="11" t="s">
        <v>193</v>
      </c>
    </row>
    <row r="14">
      <c r="A14" s="85" t="s">
        <v>2204</v>
      </c>
      <c r="B14" s="11" t="s">
        <v>193</v>
      </c>
    </row>
    <row r="15">
      <c r="A15" s="85" t="s">
        <v>2206</v>
      </c>
      <c r="B15" s="11" t="s">
        <v>2182</v>
      </c>
    </row>
    <row r="16">
      <c r="A16" s="85" t="s">
        <v>2217</v>
      </c>
      <c r="B16" s="11" t="s">
        <v>193</v>
      </c>
    </row>
    <row r="17">
      <c r="A17" s="85" t="s">
        <v>2186</v>
      </c>
      <c r="B17" s="11" t="s">
        <v>2182</v>
      </c>
    </row>
    <row r="18">
      <c r="A18" s="85" t="s">
        <v>2201</v>
      </c>
      <c r="B18" s="11" t="s">
        <v>2182</v>
      </c>
    </row>
    <row r="19">
      <c r="A19" s="85" t="s">
        <v>2223</v>
      </c>
      <c r="B19" s="11" t="s">
        <v>2182</v>
      </c>
    </row>
  </sheetData>
  <conditionalFormatting sqref="B2:B19">
    <cfRule type="expression" dxfId="0" priority="1">
      <formula>$B2=1</formula>
    </cfRule>
  </conditionalFormatting>
  <conditionalFormatting sqref="B2:B19">
    <cfRule type="containsBlanks" dxfId="1" priority="2">
      <formula>LEN(TRIM(B2))=0</formula>
    </cfRule>
  </conditionalFormatting>
  <conditionalFormatting sqref="B2:B19">
    <cfRule type="notContainsBlanks" dxfId="2" priority="3">
      <formula>LEN(TRIM(B2))&gt;0</formula>
    </cfRule>
  </conditionalFormatting>
  <dataValidations>
    <dataValidation type="list" allowBlank="1" showErrorMessage="1" sqref="B2:B19">
      <formula1>"Physical,Magic,Overall"</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6" max="6" width="7.25"/>
    <col customWidth="1" min="7" max="7" width="6.88"/>
    <col customWidth="1" min="8" max="8" width="7.13"/>
    <col customWidth="1" min="9" max="9" width="7.75"/>
  </cols>
  <sheetData>
    <row r="1">
      <c r="A1" s="1" t="s">
        <v>2174</v>
      </c>
      <c r="B1" s="2" t="s">
        <v>2175</v>
      </c>
      <c r="C1" s="2" t="s">
        <v>2176</v>
      </c>
      <c r="D1" s="84" t="s">
        <v>2177</v>
      </c>
      <c r="E1" s="2" t="s">
        <v>2178</v>
      </c>
      <c r="F1" s="42" t="s">
        <v>2281</v>
      </c>
      <c r="G1" s="42" t="s">
        <v>2282</v>
      </c>
      <c r="H1" s="42" t="s">
        <v>2283</v>
      </c>
      <c r="I1" s="42" t="s">
        <v>2284</v>
      </c>
    </row>
    <row r="2">
      <c r="A2" s="85" t="s">
        <v>2179</v>
      </c>
      <c r="B2" s="11" t="s">
        <v>2180</v>
      </c>
      <c r="C2" s="86" t="b">
        <v>0</v>
      </c>
      <c r="D2" s="87" t="s">
        <v>2181</v>
      </c>
      <c r="E2" s="11" t="s">
        <v>2182</v>
      </c>
      <c r="F2" s="42">
        <v>4.0</v>
      </c>
      <c r="G2" s="42">
        <v>4.0</v>
      </c>
      <c r="H2" s="42">
        <v>4.0</v>
      </c>
      <c r="I2" s="42">
        <v>4.0</v>
      </c>
    </row>
    <row r="3">
      <c r="A3" s="85" t="s">
        <v>2183</v>
      </c>
      <c r="B3" s="11" t="s">
        <v>845</v>
      </c>
      <c r="C3" s="86" t="b">
        <v>0</v>
      </c>
      <c r="D3" s="87" t="s">
        <v>2184</v>
      </c>
      <c r="E3" s="11" t="s">
        <v>2182</v>
      </c>
      <c r="F3" s="42">
        <v>4.0</v>
      </c>
      <c r="G3" s="42">
        <v>4.0</v>
      </c>
      <c r="H3" s="42">
        <v>4.0</v>
      </c>
      <c r="I3" s="42">
        <v>4.0</v>
      </c>
    </row>
    <row r="4">
      <c r="A4" s="85" t="s">
        <v>2185</v>
      </c>
      <c r="B4" s="11" t="s">
        <v>2180</v>
      </c>
      <c r="C4" s="86" t="b">
        <v>0</v>
      </c>
      <c r="D4" s="87" t="s">
        <v>2186</v>
      </c>
      <c r="E4" s="11" t="s">
        <v>2182</v>
      </c>
      <c r="F4" s="42">
        <v>4.0</v>
      </c>
      <c r="G4" s="42">
        <v>4.0</v>
      </c>
      <c r="H4" s="42">
        <v>4.0</v>
      </c>
      <c r="I4" s="42">
        <v>4.0</v>
      </c>
    </row>
    <row r="5">
      <c r="A5" s="85" t="s">
        <v>2187</v>
      </c>
      <c r="B5" s="11" t="s">
        <v>845</v>
      </c>
      <c r="C5" s="86" t="b">
        <v>0</v>
      </c>
      <c r="D5" s="87"/>
      <c r="E5" s="11" t="s">
        <v>2182</v>
      </c>
      <c r="F5" s="42">
        <v>3.0</v>
      </c>
      <c r="G5" s="42">
        <v>3.0</v>
      </c>
      <c r="H5" s="42">
        <v>3.0</v>
      </c>
      <c r="I5" s="42">
        <v>3.0</v>
      </c>
    </row>
    <row r="6">
      <c r="A6" s="85" t="s">
        <v>2188</v>
      </c>
      <c r="B6" s="11" t="s">
        <v>2189</v>
      </c>
      <c r="C6" s="86" t="b">
        <v>0</v>
      </c>
      <c r="D6" s="87" t="s">
        <v>2190</v>
      </c>
      <c r="E6" s="11" t="s">
        <v>2182</v>
      </c>
      <c r="F6" s="42">
        <v>4.0</v>
      </c>
      <c r="G6" s="42">
        <v>4.0</v>
      </c>
      <c r="H6" s="42">
        <v>4.0</v>
      </c>
      <c r="I6" s="42">
        <v>4.0</v>
      </c>
    </row>
    <row r="7">
      <c r="A7" s="85" t="s">
        <v>2191</v>
      </c>
      <c r="B7" s="11" t="s">
        <v>845</v>
      </c>
      <c r="C7" s="86" t="b">
        <v>0</v>
      </c>
      <c r="D7" s="87"/>
      <c r="E7" s="11" t="s">
        <v>2182</v>
      </c>
      <c r="F7" s="42">
        <v>3.0</v>
      </c>
      <c r="G7" s="42">
        <v>3.0</v>
      </c>
      <c r="H7" s="42">
        <v>3.0</v>
      </c>
      <c r="I7" s="42">
        <v>3.0</v>
      </c>
    </row>
    <row r="8">
      <c r="A8" s="85" t="s">
        <v>2192</v>
      </c>
      <c r="B8" s="11" t="s">
        <v>2189</v>
      </c>
      <c r="C8" s="86" t="b">
        <v>0</v>
      </c>
      <c r="D8" s="87" t="s">
        <v>2193</v>
      </c>
      <c r="E8" s="11" t="s">
        <v>2182</v>
      </c>
      <c r="F8" s="42">
        <v>4.0</v>
      </c>
      <c r="G8" s="42">
        <v>4.0</v>
      </c>
      <c r="H8" s="42">
        <v>4.0</v>
      </c>
      <c r="I8" s="42">
        <v>4.0</v>
      </c>
    </row>
    <row r="9">
      <c r="A9" s="85" t="s">
        <v>2194</v>
      </c>
      <c r="B9" s="11" t="s">
        <v>845</v>
      </c>
      <c r="C9" s="86" t="b">
        <v>0</v>
      </c>
      <c r="D9" s="87"/>
      <c r="E9" s="11" t="s">
        <v>2182</v>
      </c>
      <c r="F9" s="42">
        <v>3.0</v>
      </c>
      <c r="G9" s="42">
        <v>3.0</v>
      </c>
      <c r="H9" s="42">
        <v>3.0</v>
      </c>
      <c r="I9" s="42">
        <v>3.0</v>
      </c>
    </row>
    <row r="10">
      <c r="A10" s="85" t="s">
        <v>2195</v>
      </c>
      <c r="B10" s="11" t="s">
        <v>2189</v>
      </c>
      <c r="C10" s="86" t="b">
        <v>0</v>
      </c>
      <c r="D10" s="87"/>
      <c r="E10" s="11" t="s">
        <v>193</v>
      </c>
      <c r="F10" s="42">
        <v>3.0</v>
      </c>
      <c r="G10" s="42">
        <v>3.0</v>
      </c>
      <c r="H10" s="42">
        <v>3.0</v>
      </c>
      <c r="I10" s="42">
        <v>3.0</v>
      </c>
    </row>
    <row r="11">
      <c r="A11" s="85" t="s">
        <v>2196</v>
      </c>
      <c r="B11" s="11" t="s">
        <v>845</v>
      </c>
      <c r="C11" s="86" t="b">
        <v>0</v>
      </c>
      <c r="D11" s="87" t="s">
        <v>2197</v>
      </c>
      <c r="E11" s="11" t="s">
        <v>523</v>
      </c>
      <c r="F11" s="42">
        <v>4.0</v>
      </c>
      <c r="G11" s="42">
        <v>4.0</v>
      </c>
      <c r="H11" s="42">
        <v>4.0</v>
      </c>
      <c r="I11" s="42">
        <v>4.0</v>
      </c>
    </row>
    <row r="12">
      <c r="A12" s="85" t="s">
        <v>2198</v>
      </c>
      <c r="B12" s="11" t="s">
        <v>845</v>
      </c>
      <c r="C12" s="86" t="b">
        <v>0</v>
      </c>
      <c r="D12" s="87" t="s">
        <v>2199</v>
      </c>
      <c r="E12" s="11" t="s">
        <v>2182</v>
      </c>
      <c r="F12" s="42">
        <v>4.0</v>
      </c>
      <c r="G12" s="42">
        <v>4.0</v>
      </c>
      <c r="H12" s="42">
        <v>4.0</v>
      </c>
      <c r="I12" s="42">
        <v>4.0</v>
      </c>
    </row>
    <row r="13">
      <c r="A13" s="85" t="s">
        <v>2200</v>
      </c>
      <c r="B13" s="11" t="s">
        <v>2189</v>
      </c>
      <c r="C13" s="86" t="b">
        <v>0</v>
      </c>
      <c r="D13" s="87" t="s">
        <v>2201</v>
      </c>
      <c r="E13" s="11" t="s">
        <v>2182</v>
      </c>
      <c r="F13" s="42">
        <v>4.0</v>
      </c>
      <c r="G13" s="42">
        <v>4.0</v>
      </c>
      <c r="H13" s="42">
        <v>4.0</v>
      </c>
      <c r="I13" s="42">
        <v>4.0</v>
      </c>
    </row>
    <row r="14">
      <c r="A14" s="85" t="s">
        <v>2202</v>
      </c>
      <c r="B14" s="11" t="s">
        <v>2203</v>
      </c>
      <c r="C14" s="86" t="b">
        <v>0</v>
      </c>
      <c r="D14" s="87" t="s">
        <v>2204</v>
      </c>
      <c r="E14" s="11" t="s">
        <v>193</v>
      </c>
      <c r="F14" s="42">
        <v>4.0</v>
      </c>
      <c r="G14" s="42">
        <v>4.0</v>
      </c>
      <c r="H14" s="42">
        <v>4.0</v>
      </c>
      <c r="I14" s="42">
        <v>4.0</v>
      </c>
    </row>
    <row r="15">
      <c r="A15" s="85" t="s">
        <v>2205</v>
      </c>
      <c r="B15" s="11" t="s">
        <v>2189</v>
      </c>
      <c r="C15" s="86" t="b">
        <v>0</v>
      </c>
      <c r="D15" s="87" t="s">
        <v>2206</v>
      </c>
      <c r="E15" s="11" t="s">
        <v>2182</v>
      </c>
      <c r="F15" s="42">
        <v>4.0</v>
      </c>
      <c r="G15" s="42">
        <v>4.0</v>
      </c>
      <c r="H15" s="42">
        <v>4.0</v>
      </c>
      <c r="I15" s="42">
        <v>4.0</v>
      </c>
    </row>
    <row r="16">
      <c r="A16" s="85" t="s">
        <v>2207</v>
      </c>
      <c r="B16" s="11" t="s">
        <v>2203</v>
      </c>
      <c r="C16" s="86" t="b">
        <v>0</v>
      </c>
      <c r="D16" s="87" t="s">
        <v>2208</v>
      </c>
      <c r="E16" s="11" t="s">
        <v>193</v>
      </c>
      <c r="F16" s="42">
        <v>4.0</v>
      </c>
      <c r="G16" s="42">
        <v>4.0</v>
      </c>
      <c r="H16" s="42">
        <v>4.0</v>
      </c>
      <c r="I16" s="42">
        <v>4.0</v>
      </c>
    </row>
    <row r="17">
      <c r="A17" s="85" t="s">
        <v>2209</v>
      </c>
      <c r="B17" s="11" t="s">
        <v>845</v>
      </c>
      <c r="C17" s="86" t="b">
        <v>0</v>
      </c>
      <c r="D17" s="87" t="s">
        <v>2210</v>
      </c>
      <c r="E17" s="11" t="s">
        <v>2182</v>
      </c>
      <c r="F17" s="42">
        <v>4.0</v>
      </c>
      <c r="G17" s="42">
        <v>4.0</v>
      </c>
      <c r="H17" s="42">
        <v>4.0</v>
      </c>
      <c r="I17" s="42">
        <v>4.0</v>
      </c>
    </row>
    <row r="18">
      <c r="A18" s="85" t="s">
        <v>2211</v>
      </c>
      <c r="B18" s="11" t="s">
        <v>2189</v>
      </c>
      <c r="C18" s="86" t="b">
        <v>0</v>
      </c>
      <c r="D18" s="87" t="s">
        <v>2212</v>
      </c>
      <c r="E18" s="11" t="s">
        <v>2182</v>
      </c>
      <c r="F18" s="42">
        <v>4.0</v>
      </c>
      <c r="G18" s="42">
        <v>4.0</v>
      </c>
      <c r="H18" s="42">
        <v>4.0</v>
      </c>
      <c r="I18" s="42">
        <v>4.0</v>
      </c>
    </row>
    <row r="19">
      <c r="A19" s="85" t="s">
        <v>2213</v>
      </c>
      <c r="B19" s="11" t="s">
        <v>2203</v>
      </c>
      <c r="C19" s="86" t="b">
        <v>0</v>
      </c>
      <c r="D19" s="87" t="s">
        <v>2214</v>
      </c>
      <c r="E19" s="11" t="s">
        <v>193</v>
      </c>
      <c r="F19" s="42">
        <v>4.0</v>
      </c>
      <c r="G19" s="42">
        <v>4.0</v>
      </c>
      <c r="H19" s="42">
        <v>4.0</v>
      </c>
      <c r="I19" s="42">
        <v>4.0</v>
      </c>
    </row>
    <row r="20">
      <c r="A20" s="85" t="s">
        <v>2215</v>
      </c>
      <c r="B20" s="11" t="s">
        <v>2216</v>
      </c>
      <c r="C20" s="86" t="b">
        <v>0</v>
      </c>
      <c r="D20" s="87" t="s">
        <v>2217</v>
      </c>
      <c r="E20" s="11" t="s">
        <v>193</v>
      </c>
      <c r="F20" s="42">
        <v>4.0</v>
      </c>
      <c r="G20" s="42">
        <v>4.0</v>
      </c>
      <c r="H20" s="42">
        <v>4.0</v>
      </c>
      <c r="I20" s="42">
        <v>4.0</v>
      </c>
    </row>
    <row r="21">
      <c r="A21" s="85" t="s">
        <v>2218</v>
      </c>
      <c r="B21" s="11" t="s">
        <v>845</v>
      </c>
      <c r="C21" s="86" t="b">
        <v>0</v>
      </c>
      <c r="D21" s="87" t="s">
        <v>2219</v>
      </c>
      <c r="E21" s="11" t="s">
        <v>523</v>
      </c>
      <c r="F21" s="42">
        <v>4.0</v>
      </c>
      <c r="G21" s="42">
        <v>4.0</v>
      </c>
      <c r="H21" s="42">
        <v>4.0</v>
      </c>
      <c r="I21" s="42">
        <v>4.0</v>
      </c>
    </row>
    <row r="22">
      <c r="A22" s="85" t="s">
        <v>2220</v>
      </c>
      <c r="B22" s="11" t="s">
        <v>2203</v>
      </c>
      <c r="C22" s="86" t="b">
        <v>0</v>
      </c>
      <c r="D22" s="87" t="s">
        <v>2221</v>
      </c>
      <c r="E22" s="11" t="s">
        <v>193</v>
      </c>
      <c r="F22" s="42">
        <v>4.0</v>
      </c>
      <c r="G22" s="42">
        <v>4.0</v>
      </c>
      <c r="H22" s="42">
        <v>4.0</v>
      </c>
      <c r="I22" s="42">
        <v>4.0</v>
      </c>
    </row>
    <row r="23">
      <c r="A23" s="85" t="s">
        <v>2222</v>
      </c>
      <c r="B23" s="11" t="s">
        <v>2189</v>
      </c>
      <c r="C23" s="86" t="b">
        <v>0</v>
      </c>
      <c r="D23" s="87" t="s">
        <v>2223</v>
      </c>
      <c r="E23" s="11" t="s">
        <v>2182</v>
      </c>
      <c r="F23" s="42">
        <v>4.0</v>
      </c>
      <c r="G23" s="42">
        <v>4.0</v>
      </c>
      <c r="H23" s="42">
        <v>4.0</v>
      </c>
      <c r="I23" s="42">
        <v>4.0</v>
      </c>
    </row>
    <row r="24">
      <c r="A24" s="85" t="s">
        <v>2224</v>
      </c>
      <c r="B24" s="11" t="s">
        <v>845</v>
      </c>
      <c r="C24" s="86" t="b">
        <v>0</v>
      </c>
      <c r="D24" s="87"/>
      <c r="E24" s="11" t="s">
        <v>2182</v>
      </c>
      <c r="F24" s="42">
        <v>485.0</v>
      </c>
      <c r="G24" s="42">
        <v>3124.0</v>
      </c>
      <c r="H24" s="42">
        <v>27300.0</v>
      </c>
      <c r="I24" s="33">
        <f>H24*5</f>
        <v>136500</v>
      </c>
    </row>
    <row r="25">
      <c r="A25" s="85" t="s">
        <v>1012</v>
      </c>
      <c r="B25" s="11" t="s">
        <v>845</v>
      </c>
      <c r="C25" s="86" t="b">
        <v>0</v>
      </c>
      <c r="D25" s="87" t="s">
        <v>2184</v>
      </c>
      <c r="E25" s="11" t="s">
        <v>2182</v>
      </c>
      <c r="F25" s="42">
        <v>0.0</v>
      </c>
      <c r="G25" s="42">
        <v>0.0</v>
      </c>
      <c r="H25" s="42">
        <v>0.0</v>
      </c>
      <c r="I25" s="42">
        <v>0.0</v>
      </c>
    </row>
    <row r="26">
      <c r="A26" s="85" t="s">
        <v>2225</v>
      </c>
      <c r="B26" s="11" t="s">
        <v>2189</v>
      </c>
      <c r="C26" s="86" t="b">
        <v>1</v>
      </c>
      <c r="D26" s="87" t="s">
        <v>2186</v>
      </c>
      <c r="E26" s="11" t="s">
        <v>2182</v>
      </c>
      <c r="F26" s="42">
        <v>0.0</v>
      </c>
      <c r="G26" s="42">
        <v>0.0</v>
      </c>
      <c r="H26" s="42">
        <v>0.0</v>
      </c>
      <c r="I26" s="42">
        <v>0.0</v>
      </c>
    </row>
    <row r="27">
      <c r="A27" s="85" t="s">
        <v>2226</v>
      </c>
      <c r="B27" s="11" t="s">
        <v>2189</v>
      </c>
      <c r="C27" s="86" t="b">
        <v>0</v>
      </c>
      <c r="D27" s="87"/>
      <c r="E27" s="11" t="s">
        <v>2182</v>
      </c>
      <c r="F27" s="42">
        <v>648.0</v>
      </c>
      <c r="G27" s="42">
        <v>3844.0</v>
      </c>
      <c r="H27" s="42">
        <v>27300.0</v>
      </c>
      <c r="I27" s="33">
        <f t="shared" ref="I27:I28" si="1">H27*5</f>
        <v>136500</v>
      </c>
    </row>
    <row r="28">
      <c r="A28" s="85" t="s">
        <v>2227</v>
      </c>
      <c r="B28" s="11" t="s">
        <v>845</v>
      </c>
      <c r="C28" s="86" t="b">
        <v>0</v>
      </c>
      <c r="D28" s="87"/>
      <c r="E28" s="11" t="s">
        <v>2182</v>
      </c>
      <c r="F28" s="42">
        <v>187.0</v>
      </c>
      <c r="G28" s="42">
        <v>1411.0</v>
      </c>
      <c r="H28" s="42">
        <v>7195.0</v>
      </c>
      <c r="I28" s="33">
        <f t="shared" si="1"/>
        <v>35975</v>
      </c>
    </row>
    <row r="29">
      <c r="A29" s="85" t="s">
        <v>876</v>
      </c>
      <c r="B29" s="11" t="s">
        <v>2189</v>
      </c>
      <c r="C29" s="86" t="b">
        <v>1</v>
      </c>
      <c r="D29" s="87" t="s">
        <v>2190</v>
      </c>
      <c r="E29" s="11" t="s">
        <v>2182</v>
      </c>
      <c r="F29" s="42">
        <v>0.0</v>
      </c>
      <c r="G29" s="42">
        <v>0.0</v>
      </c>
      <c r="H29" s="42">
        <v>0.0</v>
      </c>
      <c r="I29" s="42">
        <v>0.0</v>
      </c>
    </row>
    <row r="30">
      <c r="A30" s="85" t="s">
        <v>2228</v>
      </c>
      <c r="B30" s="11" t="s">
        <v>2229</v>
      </c>
      <c r="C30" s="86" t="b">
        <v>0</v>
      </c>
      <c r="D30" s="87"/>
      <c r="E30" s="11" t="s">
        <v>2182</v>
      </c>
      <c r="F30" s="42">
        <v>88.0</v>
      </c>
      <c r="G30" s="42">
        <v>1051.0</v>
      </c>
      <c r="H30" s="42">
        <v>7200.0</v>
      </c>
      <c r="I30" s="33">
        <f t="shared" ref="I30:I34" si="2">H30*5</f>
        <v>36000</v>
      </c>
    </row>
    <row r="31">
      <c r="A31" s="85" t="s">
        <v>2230</v>
      </c>
      <c r="B31" s="11" t="s">
        <v>2216</v>
      </c>
      <c r="C31" s="86" t="b">
        <v>0</v>
      </c>
      <c r="D31" s="87"/>
      <c r="E31" s="11" t="s">
        <v>523</v>
      </c>
      <c r="F31" s="42">
        <v>60.0</v>
      </c>
      <c r="G31" s="42">
        <v>360.0</v>
      </c>
      <c r="H31" s="42">
        <v>1800.0</v>
      </c>
      <c r="I31" s="33">
        <f t="shared" si="2"/>
        <v>9000</v>
      </c>
    </row>
    <row r="32">
      <c r="A32" s="85" t="s">
        <v>2231</v>
      </c>
      <c r="B32" s="11" t="s">
        <v>2229</v>
      </c>
      <c r="C32" s="86" t="b">
        <v>0</v>
      </c>
      <c r="D32" s="87"/>
      <c r="E32" s="11" t="s">
        <v>523</v>
      </c>
      <c r="F32" s="42">
        <v>60.0</v>
      </c>
      <c r="G32" s="42">
        <v>360.0</v>
      </c>
      <c r="H32" s="42">
        <v>1800.0</v>
      </c>
      <c r="I32" s="33">
        <f t="shared" si="2"/>
        <v>9000</v>
      </c>
    </row>
    <row r="33">
      <c r="A33" s="85" t="s">
        <v>2232</v>
      </c>
      <c r="B33" s="11" t="s">
        <v>2180</v>
      </c>
      <c r="C33" s="86" t="b">
        <v>0</v>
      </c>
      <c r="D33" s="87"/>
      <c r="E33" s="11" t="s">
        <v>523</v>
      </c>
      <c r="F33" s="42">
        <v>60.0</v>
      </c>
      <c r="G33" s="42">
        <v>373.0</v>
      </c>
      <c r="H33" s="42">
        <v>4902.0</v>
      </c>
      <c r="I33" s="33">
        <f t="shared" si="2"/>
        <v>24510</v>
      </c>
    </row>
    <row r="34">
      <c r="A34" s="85" t="s">
        <v>2233</v>
      </c>
      <c r="B34" s="11" t="s">
        <v>2216</v>
      </c>
      <c r="C34" s="86" t="b">
        <v>0</v>
      </c>
      <c r="D34" s="87"/>
      <c r="E34" s="11" t="s">
        <v>193</v>
      </c>
      <c r="F34" s="42">
        <v>240.0</v>
      </c>
      <c r="G34" s="42">
        <v>1450.0</v>
      </c>
      <c r="H34" s="42">
        <v>14671.0</v>
      </c>
      <c r="I34" s="33">
        <f t="shared" si="2"/>
        <v>73355</v>
      </c>
    </row>
    <row r="35">
      <c r="A35" s="85" t="s">
        <v>2234</v>
      </c>
      <c r="B35" s="11" t="s">
        <v>845</v>
      </c>
      <c r="C35" s="86" t="b">
        <v>1</v>
      </c>
      <c r="D35" s="87" t="s">
        <v>2193</v>
      </c>
      <c r="E35" s="11" t="s">
        <v>2182</v>
      </c>
      <c r="F35" s="42">
        <v>0.0</v>
      </c>
      <c r="G35" s="42">
        <v>0.0</v>
      </c>
      <c r="H35" s="42">
        <v>0.0</v>
      </c>
      <c r="I35" s="42">
        <v>0.0</v>
      </c>
    </row>
    <row r="36">
      <c r="A36" s="85" t="s">
        <v>2235</v>
      </c>
      <c r="B36" s="11" t="s">
        <v>2180</v>
      </c>
      <c r="C36" s="86" t="b">
        <v>0</v>
      </c>
      <c r="D36" s="87"/>
      <c r="E36" s="11" t="s">
        <v>2182</v>
      </c>
      <c r="F36" s="42">
        <v>960.0</v>
      </c>
      <c r="G36" s="42">
        <v>5357.0</v>
      </c>
      <c r="H36" s="42">
        <v>27266.0</v>
      </c>
      <c r="I36" s="33">
        <f t="shared" ref="I36:I38" si="3">H36*5</f>
        <v>136330</v>
      </c>
    </row>
    <row r="37">
      <c r="A37" s="85" t="s">
        <v>2236</v>
      </c>
      <c r="B37" s="11" t="s">
        <v>2180</v>
      </c>
      <c r="C37" s="86" t="b">
        <v>0</v>
      </c>
      <c r="D37" s="87"/>
      <c r="E37" s="11" t="s">
        <v>2182</v>
      </c>
      <c r="F37" s="42">
        <v>126.0</v>
      </c>
      <c r="G37" s="42">
        <v>984.0</v>
      </c>
      <c r="H37" s="42">
        <v>6466.0</v>
      </c>
      <c r="I37" s="33">
        <f t="shared" si="3"/>
        <v>32330</v>
      </c>
    </row>
    <row r="38">
      <c r="A38" s="85" t="s">
        <v>2237</v>
      </c>
      <c r="B38" s="11" t="s">
        <v>2216</v>
      </c>
      <c r="C38" s="86" t="b">
        <v>0</v>
      </c>
      <c r="D38" s="87"/>
      <c r="E38" s="11" t="s">
        <v>193</v>
      </c>
      <c r="F38" s="42">
        <v>177.0</v>
      </c>
      <c r="G38" s="42">
        <v>1356.0</v>
      </c>
      <c r="H38" s="42">
        <v>7200.0</v>
      </c>
      <c r="I38" s="33">
        <f t="shared" si="3"/>
        <v>36000</v>
      </c>
    </row>
    <row r="39">
      <c r="A39" s="85" t="s">
        <v>2238</v>
      </c>
      <c r="B39" s="11" t="s">
        <v>2180</v>
      </c>
      <c r="C39" s="86" t="b">
        <v>1</v>
      </c>
      <c r="D39" s="87" t="s">
        <v>2197</v>
      </c>
      <c r="E39" s="11" t="s">
        <v>523</v>
      </c>
      <c r="F39" s="42">
        <v>0.0</v>
      </c>
      <c r="G39" s="42">
        <v>0.0</v>
      </c>
      <c r="H39" s="42">
        <v>0.0</v>
      </c>
      <c r="I39" s="42">
        <v>0.0</v>
      </c>
    </row>
    <row r="40">
      <c r="A40" s="85" t="s">
        <v>2239</v>
      </c>
      <c r="B40" s="11" t="s">
        <v>2180</v>
      </c>
      <c r="C40" s="86" t="b">
        <v>1</v>
      </c>
      <c r="D40" s="87" t="s">
        <v>2199</v>
      </c>
      <c r="E40" s="11" t="s">
        <v>2182</v>
      </c>
      <c r="F40" s="42">
        <v>0.0</v>
      </c>
      <c r="G40" s="42">
        <v>0.0</v>
      </c>
      <c r="H40" s="42">
        <v>0.0</v>
      </c>
      <c r="I40" s="42">
        <v>0.0</v>
      </c>
    </row>
    <row r="41">
      <c r="A41" s="85" t="s">
        <v>2240</v>
      </c>
      <c r="B41" s="11" t="s">
        <v>845</v>
      </c>
      <c r="C41" s="86" t="b">
        <v>1</v>
      </c>
      <c r="D41" s="87" t="s">
        <v>2201</v>
      </c>
      <c r="E41" s="11" t="s">
        <v>2182</v>
      </c>
      <c r="F41" s="42">
        <v>0.0</v>
      </c>
      <c r="G41" s="42">
        <v>0.0</v>
      </c>
      <c r="H41" s="42">
        <v>0.0</v>
      </c>
      <c r="I41" s="42">
        <v>0.0</v>
      </c>
    </row>
    <row r="42">
      <c r="A42" s="85" t="s">
        <v>2241</v>
      </c>
      <c r="B42" s="11" t="s">
        <v>2216</v>
      </c>
      <c r="C42" s="86" t="b">
        <v>0</v>
      </c>
      <c r="D42" s="87"/>
      <c r="E42" s="11" t="s">
        <v>523</v>
      </c>
      <c r="F42" s="42">
        <v>20.0</v>
      </c>
      <c r="G42" s="42">
        <v>120.0</v>
      </c>
      <c r="H42" s="42">
        <v>1339.0</v>
      </c>
      <c r="I42" s="33">
        <f t="shared" ref="I42:I43" si="4">H42*5</f>
        <v>6695</v>
      </c>
    </row>
    <row r="43">
      <c r="A43" s="85" t="s">
        <v>2242</v>
      </c>
      <c r="B43" s="11" t="s">
        <v>2229</v>
      </c>
      <c r="C43" s="86" t="b">
        <v>0</v>
      </c>
      <c r="D43" s="87"/>
      <c r="E43" s="11" t="s">
        <v>523</v>
      </c>
      <c r="F43" s="42">
        <v>20.0</v>
      </c>
      <c r="G43" s="42">
        <v>120.0</v>
      </c>
      <c r="H43" s="42">
        <v>785.0</v>
      </c>
      <c r="I43" s="33">
        <f t="shared" si="4"/>
        <v>3925</v>
      </c>
    </row>
    <row r="44">
      <c r="A44" s="85" t="s">
        <v>2243</v>
      </c>
      <c r="B44" s="11" t="s">
        <v>2216</v>
      </c>
      <c r="C44" s="86" t="b">
        <v>1</v>
      </c>
      <c r="D44" s="87" t="s">
        <v>2204</v>
      </c>
      <c r="E44" s="11" t="s">
        <v>193</v>
      </c>
      <c r="F44" s="42">
        <v>0.0</v>
      </c>
      <c r="G44" s="42">
        <v>0.0</v>
      </c>
      <c r="H44" s="42">
        <v>0.0</v>
      </c>
      <c r="I44" s="42">
        <v>0.0</v>
      </c>
    </row>
    <row r="45">
      <c r="A45" s="85" t="s">
        <v>2244</v>
      </c>
      <c r="B45" s="11" t="s">
        <v>845</v>
      </c>
      <c r="C45" s="86" t="b">
        <v>1</v>
      </c>
      <c r="D45" s="87" t="s">
        <v>2206</v>
      </c>
      <c r="E45" s="11" t="s">
        <v>2182</v>
      </c>
      <c r="F45" s="42">
        <v>0.0</v>
      </c>
      <c r="G45" s="42">
        <v>0.0</v>
      </c>
      <c r="H45" s="42">
        <v>0.0</v>
      </c>
      <c r="I45" s="42">
        <v>0.0</v>
      </c>
    </row>
    <row r="46">
      <c r="A46" s="85" t="s">
        <v>2245</v>
      </c>
      <c r="B46" s="11" t="s">
        <v>2189</v>
      </c>
      <c r="C46" s="86" t="b">
        <v>0</v>
      </c>
      <c r="D46" s="87" t="s">
        <v>2184</v>
      </c>
      <c r="E46" s="11" t="s">
        <v>2182</v>
      </c>
      <c r="F46" s="42">
        <v>557.0</v>
      </c>
      <c r="G46" s="42">
        <v>3926.0</v>
      </c>
      <c r="H46" s="42">
        <v>18412.0</v>
      </c>
      <c r="I46" s="33">
        <f t="shared" ref="I46:I68" si="5">H46*5</f>
        <v>92060</v>
      </c>
    </row>
    <row r="47">
      <c r="A47" s="85" t="s">
        <v>2246</v>
      </c>
      <c r="B47" s="11" t="s">
        <v>2189</v>
      </c>
      <c r="C47" s="86" t="b">
        <v>0</v>
      </c>
      <c r="D47" s="87" t="s">
        <v>2186</v>
      </c>
      <c r="E47" s="11" t="s">
        <v>2182</v>
      </c>
      <c r="F47" s="42">
        <v>960.0</v>
      </c>
      <c r="G47" s="42">
        <v>5771.0</v>
      </c>
      <c r="H47" s="42">
        <v>28000.0</v>
      </c>
      <c r="I47" s="33">
        <f t="shared" si="5"/>
        <v>140000</v>
      </c>
    </row>
    <row r="48">
      <c r="A48" s="85" t="s">
        <v>2247</v>
      </c>
      <c r="B48" s="11" t="s">
        <v>845</v>
      </c>
      <c r="C48" s="86" t="b">
        <v>0</v>
      </c>
      <c r="D48" s="87"/>
      <c r="E48" s="11" t="s">
        <v>2182</v>
      </c>
      <c r="F48" s="42">
        <v>96.0</v>
      </c>
      <c r="G48" s="30">
        <v>1411.0</v>
      </c>
      <c r="H48" s="42">
        <v>7195.0</v>
      </c>
      <c r="I48" s="33">
        <f t="shared" si="5"/>
        <v>35975</v>
      </c>
    </row>
    <row r="49">
      <c r="A49" s="85" t="s">
        <v>2248</v>
      </c>
      <c r="B49" s="11" t="s">
        <v>2180</v>
      </c>
      <c r="C49" s="86" t="b">
        <v>0</v>
      </c>
      <c r="D49" s="87" t="s">
        <v>2190</v>
      </c>
      <c r="E49" s="11" t="s">
        <v>2182</v>
      </c>
      <c r="F49" s="42">
        <v>625.0</v>
      </c>
      <c r="G49" s="30">
        <v>5031.0</v>
      </c>
      <c r="H49" s="30">
        <v>17618.0</v>
      </c>
      <c r="I49" s="33">
        <f t="shared" si="5"/>
        <v>88090</v>
      </c>
    </row>
    <row r="50">
      <c r="A50" s="85" t="s">
        <v>2249</v>
      </c>
      <c r="B50" s="11" t="s">
        <v>2229</v>
      </c>
      <c r="C50" s="86" t="b">
        <v>0</v>
      </c>
      <c r="D50" s="87"/>
      <c r="E50" s="11" t="s">
        <v>2182</v>
      </c>
      <c r="F50" s="42">
        <v>60.0</v>
      </c>
      <c r="G50" s="30">
        <v>360.0</v>
      </c>
      <c r="H50" s="30">
        <v>4049.0</v>
      </c>
      <c r="I50" s="33">
        <f t="shared" si="5"/>
        <v>20245</v>
      </c>
    </row>
    <row r="51">
      <c r="A51" s="85" t="s">
        <v>2250</v>
      </c>
      <c r="B51" s="11" t="s">
        <v>2189</v>
      </c>
      <c r="C51" s="86" t="b">
        <v>0</v>
      </c>
      <c r="D51" s="87" t="s">
        <v>2193</v>
      </c>
      <c r="E51" s="11" t="s">
        <v>2182</v>
      </c>
      <c r="F51" s="42">
        <v>697.0</v>
      </c>
      <c r="G51" s="30">
        <v>4606.0</v>
      </c>
      <c r="H51" s="30">
        <v>16665.0</v>
      </c>
      <c r="I51" s="33">
        <f t="shared" si="5"/>
        <v>83325</v>
      </c>
    </row>
    <row r="52">
      <c r="A52" s="85" t="s">
        <v>2251</v>
      </c>
      <c r="B52" s="11" t="s">
        <v>2189</v>
      </c>
      <c r="C52" s="86" t="b">
        <v>0</v>
      </c>
      <c r="D52" s="87"/>
      <c r="E52" s="11" t="s">
        <v>2182</v>
      </c>
      <c r="F52" s="42">
        <v>67.0</v>
      </c>
      <c r="G52" s="30">
        <v>984.0</v>
      </c>
      <c r="H52" s="30">
        <v>6466.0</v>
      </c>
      <c r="I52" s="33">
        <f t="shared" si="5"/>
        <v>32330</v>
      </c>
    </row>
    <row r="53">
      <c r="A53" s="85" t="s">
        <v>2252</v>
      </c>
      <c r="B53" s="11" t="s">
        <v>2189</v>
      </c>
      <c r="C53" s="86" t="b">
        <v>0</v>
      </c>
      <c r="D53" s="91"/>
      <c r="E53" s="11" t="s">
        <v>193</v>
      </c>
      <c r="F53" s="42">
        <v>62.0</v>
      </c>
      <c r="G53" s="30">
        <v>1356.0</v>
      </c>
      <c r="H53" s="30">
        <v>7200.0</v>
      </c>
      <c r="I53" s="33">
        <f t="shared" si="5"/>
        <v>36000</v>
      </c>
    </row>
    <row r="54">
      <c r="A54" s="85" t="s">
        <v>2253</v>
      </c>
      <c r="B54" s="11" t="s">
        <v>2229</v>
      </c>
      <c r="C54" s="86" t="b">
        <v>0</v>
      </c>
      <c r="D54" s="87" t="s">
        <v>2197</v>
      </c>
      <c r="E54" s="11" t="s">
        <v>523</v>
      </c>
      <c r="F54" s="42">
        <v>570.0</v>
      </c>
      <c r="G54" s="30">
        <v>3044.0</v>
      </c>
      <c r="H54" s="30">
        <v>11261.0</v>
      </c>
      <c r="I54" s="33">
        <f t="shared" si="5"/>
        <v>56305</v>
      </c>
    </row>
    <row r="55">
      <c r="A55" s="85" t="s">
        <v>2254</v>
      </c>
      <c r="B55" s="11" t="s">
        <v>2229</v>
      </c>
      <c r="C55" s="86" t="b">
        <v>0</v>
      </c>
      <c r="D55" s="87" t="s">
        <v>2199</v>
      </c>
      <c r="E55" s="11" t="s">
        <v>2182</v>
      </c>
      <c r="F55" s="42">
        <v>555.0</v>
      </c>
      <c r="G55" s="30">
        <v>3336.0</v>
      </c>
      <c r="H55" s="30">
        <v>12951.0</v>
      </c>
      <c r="I55" s="33">
        <f t="shared" si="5"/>
        <v>64755</v>
      </c>
    </row>
    <row r="56">
      <c r="A56" s="85" t="s">
        <v>2255</v>
      </c>
      <c r="B56" s="11" t="s">
        <v>845</v>
      </c>
      <c r="C56" s="86" t="b">
        <v>0</v>
      </c>
      <c r="D56" s="87" t="s">
        <v>2201</v>
      </c>
      <c r="E56" s="11" t="s">
        <v>2182</v>
      </c>
      <c r="F56" s="42">
        <v>717.0</v>
      </c>
      <c r="G56" s="30">
        <v>5800.0</v>
      </c>
      <c r="H56" s="30">
        <v>24009.0</v>
      </c>
      <c r="I56" s="33">
        <f t="shared" si="5"/>
        <v>120045</v>
      </c>
    </row>
    <row r="57">
      <c r="A57" s="85" t="s">
        <v>2256</v>
      </c>
      <c r="B57" s="11" t="s">
        <v>2216</v>
      </c>
      <c r="C57" s="86" t="b">
        <v>0</v>
      </c>
      <c r="D57" s="87" t="s">
        <v>2204</v>
      </c>
      <c r="E57" s="11" t="s">
        <v>193</v>
      </c>
      <c r="F57" s="42">
        <v>466.0</v>
      </c>
      <c r="G57" s="30">
        <v>2393.0</v>
      </c>
      <c r="H57" s="30">
        <v>9384.0</v>
      </c>
      <c r="I57" s="33">
        <f t="shared" si="5"/>
        <v>46920</v>
      </c>
    </row>
    <row r="58">
      <c r="A58" s="85" t="s">
        <v>2257</v>
      </c>
      <c r="B58" s="11" t="s">
        <v>2180</v>
      </c>
      <c r="C58" s="86" t="b">
        <v>0</v>
      </c>
      <c r="D58" s="87" t="s">
        <v>2206</v>
      </c>
      <c r="E58" s="11" t="s">
        <v>2182</v>
      </c>
      <c r="F58" s="42">
        <v>755.0</v>
      </c>
      <c r="G58" s="30">
        <v>5800.0</v>
      </c>
      <c r="H58" s="30">
        <v>28000.0</v>
      </c>
      <c r="I58" s="33">
        <f t="shared" si="5"/>
        <v>140000</v>
      </c>
    </row>
    <row r="59">
      <c r="A59" s="85" t="s">
        <v>2258</v>
      </c>
      <c r="B59" s="11" t="s">
        <v>2229</v>
      </c>
      <c r="C59" s="86" t="b">
        <v>0</v>
      </c>
      <c r="D59" s="87" t="s">
        <v>2181</v>
      </c>
      <c r="E59" s="11" t="s">
        <v>2182</v>
      </c>
      <c r="F59" s="42">
        <v>985.0</v>
      </c>
      <c r="G59" s="30">
        <v>5683.0</v>
      </c>
      <c r="H59" s="30">
        <v>27249.0</v>
      </c>
      <c r="I59" s="33">
        <f t="shared" si="5"/>
        <v>136245</v>
      </c>
    </row>
    <row r="60">
      <c r="A60" s="85" t="s">
        <v>2259</v>
      </c>
      <c r="B60" s="11" t="s">
        <v>2216</v>
      </c>
      <c r="C60" s="86" t="b">
        <v>0</v>
      </c>
      <c r="D60" s="87" t="s">
        <v>2208</v>
      </c>
      <c r="E60" s="11" t="s">
        <v>193</v>
      </c>
      <c r="F60" s="42">
        <v>960.0</v>
      </c>
      <c r="G60" s="30">
        <v>5800.0</v>
      </c>
      <c r="H60" s="30">
        <v>26618.0</v>
      </c>
      <c r="I60" s="33">
        <f t="shared" si="5"/>
        <v>133090</v>
      </c>
    </row>
    <row r="61">
      <c r="A61" s="85" t="s">
        <v>2260</v>
      </c>
      <c r="B61" s="11" t="s">
        <v>2180</v>
      </c>
      <c r="C61" s="86" t="b">
        <v>0</v>
      </c>
      <c r="D61" s="87" t="s">
        <v>2223</v>
      </c>
      <c r="E61" s="11" t="s">
        <v>2182</v>
      </c>
      <c r="F61" s="42">
        <v>615.0</v>
      </c>
      <c r="G61" s="30">
        <v>4823.0</v>
      </c>
      <c r="H61" s="30">
        <v>22381.0</v>
      </c>
      <c r="I61" s="33">
        <f t="shared" si="5"/>
        <v>111905</v>
      </c>
    </row>
    <row r="62">
      <c r="A62" s="85" t="s">
        <v>2261</v>
      </c>
      <c r="B62" s="11" t="s">
        <v>2229</v>
      </c>
      <c r="C62" s="86" t="b">
        <v>0</v>
      </c>
      <c r="D62" s="87" t="s">
        <v>2210</v>
      </c>
      <c r="E62" s="11" t="s">
        <v>2182</v>
      </c>
      <c r="F62" s="42">
        <v>949.0</v>
      </c>
      <c r="G62" s="30">
        <v>5796.0</v>
      </c>
      <c r="H62" s="30">
        <v>27181.0</v>
      </c>
      <c r="I62" s="33">
        <f t="shared" si="5"/>
        <v>135905</v>
      </c>
    </row>
    <row r="63">
      <c r="A63" s="85" t="s">
        <v>2262</v>
      </c>
      <c r="B63" s="11" t="s">
        <v>2180</v>
      </c>
      <c r="C63" s="86" t="b">
        <v>0</v>
      </c>
      <c r="D63" s="87" t="s">
        <v>2212</v>
      </c>
      <c r="E63" s="11" t="s">
        <v>2182</v>
      </c>
      <c r="F63" s="42">
        <v>650.0</v>
      </c>
      <c r="G63" s="30">
        <v>5246.0</v>
      </c>
      <c r="H63" s="30">
        <v>20826.0</v>
      </c>
      <c r="I63" s="33">
        <f t="shared" si="5"/>
        <v>104130</v>
      </c>
    </row>
    <row r="64">
      <c r="A64" s="85" t="s">
        <v>2263</v>
      </c>
      <c r="B64" s="11" t="s">
        <v>2216</v>
      </c>
      <c r="C64" s="86" t="b">
        <v>0</v>
      </c>
      <c r="D64" s="87" t="s">
        <v>2214</v>
      </c>
      <c r="E64" s="11" t="s">
        <v>193</v>
      </c>
      <c r="F64" s="42">
        <v>862.0</v>
      </c>
      <c r="G64" s="30">
        <v>5741.0</v>
      </c>
      <c r="H64" s="30">
        <v>27079.0</v>
      </c>
      <c r="I64" s="33">
        <f t="shared" si="5"/>
        <v>135395</v>
      </c>
    </row>
    <row r="65">
      <c r="A65" s="85" t="s">
        <v>2264</v>
      </c>
      <c r="B65" s="11" t="s">
        <v>2203</v>
      </c>
      <c r="C65" s="86" t="b">
        <v>0</v>
      </c>
      <c r="D65" s="87" t="s">
        <v>2217</v>
      </c>
      <c r="E65" s="11" t="s">
        <v>193</v>
      </c>
      <c r="F65" s="42">
        <v>960.0</v>
      </c>
      <c r="G65" s="30">
        <v>5713.0</v>
      </c>
      <c r="H65" s="30">
        <v>27982.0</v>
      </c>
      <c r="I65" s="33">
        <f t="shared" si="5"/>
        <v>139910</v>
      </c>
    </row>
    <row r="66">
      <c r="A66" s="85" t="s">
        <v>2265</v>
      </c>
      <c r="B66" s="11" t="s">
        <v>2203</v>
      </c>
      <c r="C66" s="86" t="b">
        <v>0</v>
      </c>
      <c r="D66" s="87" t="s">
        <v>2219</v>
      </c>
      <c r="E66" s="11" t="s">
        <v>523</v>
      </c>
      <c r="F66" s="42">
        <v>680.0</v>
      </c>
      <c r="G66" s="30">
        <v>4140.0</v>
      </c>
      <c r="H66" s="30">
        <v>21957.0</v>
      </c>
      <c r="I66" s="33">
        <f t="shared" si="5"/>
        <v>109785</v>
      </c>
    </row>
    <row r="67">
      <c r="A67" s="85" t="s">
        <v>2266</v>
      </c>
      <c r="B67" s="11" t="s">
        <v>2189</v>
      </c>
      <c r="C67" s="86" t="b">
        <v>0</v>
      </c>
      <c r="D67" s="87"/>
      <c r="E67" s="11" t="s">
        <v>193</v>
      </c>
      <c r="F67" s="42">
        <v>391.0</v>
      </c>
      <c r="G67" s="30">
        <v>2317.0</v>
      </c>
      <c r="H67" s="30">
        <v>22738.0</v>
      </c>
      <c r="I67" s="33">
        <f t="shared" si="5"/>
        <v>113690</v>
      </c>
    </row>
    <row r="68">
      <c r="A68" s="85" t="s">
        <v>2267</v>
      </c>
      <c r="B68" s="11" t="s">
        <v>2203</v>
      </c>
      <c r="C68" s="86" t="b">
        <v>0</v>
      </c>
      <c r="D68" s="87"/>
      <c r="E68" s="11" t="s">
        <v>193</v>
      </c>
      <c r="F68" s="42">
        <v>699.0</v>
      </c>
      <c r="G68" s="30">
        <v>2971.0</v>
      </c>
      <c r="H68" s="30">
        <v>26601.0</v>
      </c>
      <c r="I68" s="33">
        <f t="shared" si="5"/>
        <v>133005</v>
      </c>
    </row>
    <row r="69">
      <c r="A69" s="85" t="s">
        <v>2268</v>
      </c>
      <c r="B69" s="11" t="s">
        <v>2180</v>
      </c>
      <c r="C69" s="86" t="b">
        <v>1</v>
      </c>
      <c r="D69" s="87" t="s">
        <v>2181</v>
      </c>
      <c r="E69" s="11" t="s">
        <v>2182</v>
      </c>
      <c r="F69" s="42">
        <v>0.0</v>
      </c>
      <c r="G69" s="42">
        <v>0.0</v>
      </c>
      <c r="H69" s="42">
        <v>0.0</v>
      </c>
      <c r="I69" s="42">
        <v>0.0</v>
      </c>
    </row>
    <row r="70">
      <c r="A70" s="85" t="s">
        <v>2269</v>
      </c>
      <c r="B70" s="11" t="s">
        <v>845</v>
      </c>
      <c r="C70" s="86" t="b">
        <v>0</v>
      </c>
      <c r="D70" s="87"/>
      <c r="E70" s="11" t="s">
        <v>523</v>
      </c>
      <c r="F70" s="42">
        <v>20.0</v>
      </c>
      <c r="G70" s="30">
        <v>121.0</v>
      </c>
      <c r="H70" s="30">
        <v>2182.0</v>
      </c>
      <c r="I70" s="33">
        <f>H70*5</f>
        <v>10910</v>
      </c>
    </row>
    <row r="71">
      <c r="A71" s="85" t="s">
        <v>2270</v>
      </c>
      <c r="B71" s="11" t="s">
        <v>2216</v>
      </c>
      <c r="C71" s="86" t="b">
        <v>1</v>
      </c>
      <c r="D71" s="87" t="s">
        <v>2208</v>
      </c>
      <c r="E71" s="11" t="s">
        <v>193</v>
      </c>
      <c r="F71" s="42">
        <v>0.0</v>
      </c>
      <c r="G71" s="42">
        <v>0.0</v>
      </c>
      <c r="H71" s="42">
        <v>0.0</v>
      </c>
      <c r="I71" s="42">
        <v>0.0</v>
      </c>
    </row>
    <row r="72">
      <c r="A72" s="85" t="s">
        <v>2271</v>
      </c>
      <c r="B72" s="11" t="s">
        <v>2189</v>
      </c>
      <c r="C72" s="86" t="b">
        <v>1</v>
      </c>
      <c r="D72" s="87" t="s">
        <v>2223</v>
      </c>
      <c r="E72" s="11" t="s">
        <v>2182</v>
      </c>
      <c r="F72" s="42">
        <v>0.0</v>
      </c>
      <c r="G72" s="42">
        <v>0.0</v>
      </c>
      <c r="H72" s="42">
        <v>0.0</v>
      </c>
      <c r="I72" s="42">
        <v>0.0</v>
      </c>
    </row>
    <row r="73">
      <c r="A73" s="85" t="s">
        <v>2272</v>
      </c>
      <c r="B73" s="11" t="s">
        <v>2180</v>
      </c>
      <c r="C73" s="86" t="b">
        <v>1</v>
      </c>
      <c r="D73" s="87" t="s">
        <v>2210</v>
      </c>
      <c r="E73" s="11" t="s">
        <v>2182</v>
      </c>
      <c r="F73" s="42">
        <v>0.0</v>
      </c>
      <c r="G73" s="42">
        <v>0.0</v>
      </c>
      <c r="H73" s="42">
        <v>0.0</v>
      </c>
      <c r="I73" s="42">
        <v>0.0</v>
      </c>
    </row>
    <row r="74">
      <c r="A74" s="85" t="s">
        <v>2273</v>
      </c>
      <c r="B74" s="11" t="s">
        <v>2189</v>
      </c>
      <c r="C74" s="86" t="b">
        <v>1</v>
      </c>
      <c r="D74" s="87" t="s">
        <v>2212</v>
      </c>
      <c r="E74" s="11" t="s">
        <v>2182</v>
      </c>
      <c r="F74" s="42">
        <v>0.0</v>
      </c>
      <c r="G74" s="42">
        <v>0.0</v>
      </c>
      <c r="H74" s="42">
        <v>0.0</v>
      </c>
      <c r="I74" s="42">
        <v>0.0</v>
      </c>
    </row>
    <row r="75">
      <c r="A75" s="85" t="s">
        <v>2274</v>
      </c>
      <c r="B75" s="11" t="s">
        <v>2203</v>
      </c>
      <c r="C75" s="86" t="b">
        <v>0</v>
      </c>
      <c r="D75" s="87"/>
      <c r="E75" s="11" t="s">
        <v>193</v>
      </c>
      <c r="F75" s="42">
        <v>61.0</v>
      </c>
      <c r="G75" s="30">
        <v>695.0</v>
      </c>
      <c r="H75" s="30">
        <v>7200.0</v>
      </c>
      <c r="I75" s="33">
        <f>H75*5</f>
        <v>36000</v>
      </c>
    </row>
    <row r="76">
      <c r="A76" s="85" t="s">
        <v>2275</v>
      </c>
      <c r="B76" s="11" t="s">
        <v>2216</v>
      </c>
      <c r="C76" s="86" t="b">
        <v>1</v>
      </c>
      <c r="D76" s="87" t="s">
        <v>2214</v>
      </c>
      <c r="E76" s="11" t="s">
        <v>193</v>
      </c>
      <c r="F76" s="42">
        <v>0.0</v>
      </c>
      <c r="G76" s="42">
        <v>0.0</v>
      </c>
      <c r="H76" s="42">
        <v>0.0</v>
      </c>
      <c r="I76" s="42">
        <v>0.0</v>
      </c>
    </row>
    <row r="77">
      <c r="A77" s="85" t="s">
        <v>2276</v>
      </c>
      <c r="B77" s="11" t="s">
        <v>2216</v>
      </c>
      <c r="C77" s="86" t="b">
        <v>1</v>
      </c>
      <c r="D77" s="87" t="s">
        <v>2217</v>
      </c>
      <c r="E77" s="11" t="s">
        <v>193</v>
      </c>
      <c r="F77" s="42">
        <v>0.0</v>
      </c>
      <c r="G77" s="42">
        <v>0.0</v>
      </c>
      <c r="H77" s="42">
        <v>0.0</v>
      </c>
      <c r="I77" s="42">
        <v>0.0</v>
      </c>
    </row>
    <row r="78">
      <c r="A78" s="85" t="s">
        <v>2277</v>
      </c>
      <c r="B78" s="11" t="s">
        <v>2216</v>
      </c>
      <c r="C78" s="86" t="b">
        <v>1</v>
      </c>
      <c r="D78" s="87" t="s">
        <v>2219</v>
      </c>
      <c r="E78" s="11" t="s">
        <v>523</v>
      </c>
      <c r="F78" s="42">
        <v>0.0</v>
      </c>
      <c r="G78" s="42">
        <v>0.0</v>
      </c>
      <c r="H78" s="42">
        <v>0.0</v>
      </c>
      <c r="I78" s="42">
        <v>0.0</v>
      </c>
    </row>
    <row r="79">
      <c r="A79" s="85" t="s">
        <v>2278</v>
      </c>
      <c r="B79" s="11" t="s">
        <v>2216</v>
      </c>
      <c r="C79" s="86" t="b">
        <v>1</v>
      </c>
      <c r="D79" s="87" t="s">
        <v>2221</v>
      </c>
      <c r="E79" s="11" t="s">
        <v>193</v>
      </c>
      <c r="F79" s="42">
        <v>0.0</v>
      </c>
      <c r="G79" s="42">
        <v>0.0</v>
      </c>
      <c r="H79" s="42">
        <v>0.0</v>
      </c>
      <c r="I79" s="42">
        <v>0.0</v>
      </c>
    </row>
    <row r="80">
      <c r="A80" s="85" t="s">
        <v>2279</v>
      </c>
      <c r="B80" s="11" t="s">
        <v>2180</v>
      </c>
      <c r="C80" s="86" t="b">
        <v>0</v>
      </c>
      <c r="D80" s="87"/>
      <c r="E80" s="11" t="s">
        <v>2182</v>
      </c>
      <c r="F80" s="42">
        <v>67.0</v>
      </c>
      <c r="G80" s="30">
        <v>784.0</v>
      </c>
      <c r="H80" s="30">
        <v>7200.0</v>
      </c>
      <c r="I80" s="33">
        <f t="shared" ref="I80:I104" si="6">H80*5</f>
        <v>36000</v>
      </c>
    </row>
    <row r="81">
      <c r="A81" s="85" t="s">
        <v>2280</v>
      </c>
      <c r="B81" s="11" t="s">
        <v>2203</v>
      </c>
      <c r="C81" s="86" t="b">
        <v>0</v>
      </c>
      <c r="D81" s="87"/>
      <c r="E81" s="11" t="s">
        <v>523</v>
      </c>
      <c r="F81" s="42">
        <v>61.0</v>
      </c>
      <c r="G81" s="30">
        <v>431.0</v>
      </c>
      <c r="H81" s="30">
        <v>4957.0</v>
      </c>
      <c r="I81" s="33">
        <f t="shared" si="6"/>
        <v>24785</v>
      </c>
    </row>
    <row r="82">
      <c r="A82" s="42" t="s">
        <v>2285</v>
      </c>
      <c r="B82" s="30">
        <v>0.3</v>
      </c>
      <c r="C82" s="30">
        <v>0.5</v>
      </c>
      <c r="D82" s="30">
        <v>0.8</v>
      </c>
      <c r="E82" s="30">
        <v>1.3</v>
      </c>
      <c r="F82" s="42">
        <v>20.0</v>
      </c>
      <c r="G82" s="42">
        <v>120.0</v>
      </c>
      <c r="H82" s="42">
        <v>20.0</v>
      </c>
      <c r="I82" s="33">
        <f t="shared" si="6"/>
        <v>100</v>
      </c>
    </row>
    <row r="83">
      <c r="A83" s="42" t="s">
        <v>2286</v>
      </c>
      <c r="B83" s="30">
        <v>0.8</v>
      </c>
      <c r="C83" s="30">
        <v>1.3</v>
      </c>
      <c r="D83" s="30">
        <v>2.1</v>
      </c>
      <c r="E83" s="30">
        <v>3.3</v>
      </c>
      <c r="F83" s="30">
        <v>20.0</v>
      </c>
      <c r="G83" s="30">
        <v>120.0</v>
      </c>
      <c r="H83" s="30">
        <v>897.0</v>
      </c>
      <c r="I83" s="33">
        <f t="shared" si="6"/>
        <v>4485</v>
      </c>
    </row>
    <row r="84">
      <c r="A84" s="42" t="s">
        <v>2287</v>
      </c>
      <c r="B84" s="30">
        <v>0.8</v>
      </c>
      <c r="C84" s="30">
        <v>1.3</v>
      </c>
      <c r="D84" s="30">
        <v>2.1</v>
      </c>
      <c r="E84" s="30">
        <v>3.3</v>
      </c>
      <c r="F84" s="30">
        <v>20.0</v>
      </c>
      <c r="G84" s="30">
        <v>120.0</v>
      </c>
      <c r="H84" s="30">
        <v>792.0</v>
      </c>
      <c r="I84" s="33">
        <f t="shared" si="6"/>
        <v>3960</v>
      </c>
    </row>
    <row r="85">
      <c r="A85" s="42" t="s">
        <v>2288</v>
      </c>
      <c r="B85" s="30">
        <v>0.8</v>
      </c>
      <c r="C85" s="30">
        <v>1.3</v>
      </c>
      <c r="D85" s="30">
        <v>2.1</v>
      </c>
      <c r="E85" s="30">
        <v>3.3</v>
      </c>
      <c r="F85" s="30">
        <v>20.0</v>
      </c>
      <c r="G85" s="30">
        <v>120.0</v>
      </c>
      <c r="H85" s="30">
        <v>724.0</v>
      </c>
      <c r="I85" s="33">
        <f t="shared" si="6"/>
        <v>3620</v>
      </c>
    </row>
    <row r="86">
      <c r="A86" s="42" t="s">
        <v>2289</v>
      </c>
      <c r="B86" s="30">
        <v>0.3</v>
      </c>
      <c r="C86" s="30">
        <v>0.5</v>
      </c>
      <c r="D86" s="30">
        <v>0.8</v>
      </c>
      <c r="E86" s="30">
        <v>1.3</v>
      </c>
      <c r="F86" s="30">
        <v>20.0</v>
      </c>
      <c r="G86" s="30">
        <v>120.0</v>
      </c>
      <c r="H86" s="30">
        <v>990.0</v>
      </c>
      <c r="I86" s="33">
        <f t="shared" si="6"/>
        <v>4950</v>
      </c>
    </row>
    <row r="87">
      <c r="A87" s="42" t="s">
        <v>2290</v>
      </c>
      <c r="B87" s="30">
        <v>0.3</v>
      </c>
      <c r="C87" s="30">
        <v>0.5</v>
      </c>
      <c r="D87" s="30">
        <v>0.8</v>
      </c>
      <c r="E87" s="30">
        <v>1.3</v>
      </c>
      <c r="F87" s="30">
        <v>20.0</v>
      </c>
      <c r="G87" s="30">
        <v>120.0</v>
      </c>
      <c r="H87" s="30">
        <v>782.0</v>
      </c>
      <c r="I87" s="33">
        <f t="shared" si="6"/>
        <v>3910</v>
      </c>
    </row>
    <row r="88">
      <c r="A88" s="42" t="s">
        <v>2291</v>
      </c>
      <c r="B88" s="30">
        <v>0.3</v>
      </c>
      <c r="C88" s="30">
        <v>0.5</v>
      </c>
      <c r="D88" s="30">
        <v>0.8</v>
      </c>
      <c r="E88" s="30">
        <v>1.3</v>
      </c>
      <c r="F88" s="30">
        <v>20.0</v>
      </c>
      <c r="G88" s="30">
        <v>120.0</v>
      </c>
      <c r="H88" s="30">
        <v>1061.0</v>
      </c>
      <c r="I88" s="33">
        <f t="shared" si="6"/>
        <v>5305</v>
      </c>
    </row>
    <row r="89">
      <c r="A89" s="42" t="s">
        <v>2269</v>
      </c>
      <c r="B89" s="30">
        <v>7.0</v>
      </c>
      <c r="C89" s="30">
        <v>11.0</v>
      </c>
      <c r="D89" s="30">
        <v>17.0</v>
      </c>
      <c r="E89" s="30">
        <v>27.0</v>
      </c>
      <c r="F89" s="30">
        <v>20.0</v>
      </c>
      <c r="G89" s="30">
        <v>120.0</v>
      </c>
      <c r="H89" s="30">
        <v>2127.0</v>
      </c>
      <c r="I89" s="33">
        <f t="shared" si="6"/>
        <v>10635</v>
      </c>
    </row>
    <row r="90">
      <c r="A90" s="42" t="s">
        <v>2292</v>
      </c>
      <c r="B90" s="30">
        <v>0.4</v>
      </c>
      <c r="C90" s="30">
        <v>0.7</v>
      </c>
      <c r="D90" s="30">
        <v>1.1</v>
      </c>
      <c r="E90" s="30">
        <v>1.7</v>
      </c>
      <c r="F90" s="30">
        <v>20.0</v>
      </c>
      <c r="G90" s="30">
        <v>120.0</v>
      </c>
      <c r="H90" s="30">
        <v>883.0</v>
      </c>
      <c r="I90" s="33">
        <f t="shared" si="6"/>
        <v>4415</v>
      </c>
    </row>
    <row r="91">
      <c r="A91" s="42" t="s">
        <v>2293</v>
      </c>
      <c r="B91" s="30">
        <v>0.4</v>
      </c>
      <c r="C91" s="30">
        <v>0.7</v>
      </c>
      <c r="D91" s="30">
        <v>1.1</v>
      </c>
      <c r="E91" s="30">
        <v>1.7</v>
      </c>
      <c r="F91" s="30">
        <v>20.0</v>
      </c>
      <c r="G91" s="30">
        <v>120.0</v>
      </c>
      <c r="H91" s="30">
        <v>837.0</v>
      </c>
      <c r="I91" s="33">
        <f t="shared" si="6"/>
        <v>4185</v>
      </c>
    </row>
    <row r="92">
      <c r="A92" s="42" t="s">
        <v>2294</v>
      </c>
      <c r="B92" s="30">
        <v>0.4</v>
      </c>
      <c r="C92" s="30">
        <v>0.7</v>
      </c>
      <c r="D92" s="30">
        <v>1.1</v>
      </c>
      <c r="E92" s="30">
        <v>1.7</v>
      </c>
      <c r="F92" s="30">
        <v>20.0</v>
      </c>
      <c r="G92" s="30">
        <v>120.0</v>
      </c>
      <c r="H92" s="30">
        <v>794.0</v>
      </c>
      <c r="I92" s="33">
        <f t="shared" si="6"/>
        <v>3970</v>
      </c>
    </row>
    <row r="93">
      <c r="A93" s="42" t="s">
        <v>2295</v>
      </c>
      <c r="B93" s="30">
        <v>0.3</v>
      </c>
      <c r="C93" s="30">
        <v>0.5</v>
      </c>
      <c r="D93" s="30">
        <v>0.8</v>
      </c>
      <c r="E93" s="30">
        <v>1.3</v>
      </c>
      <c r="F93" s="30">
        <v>20.0</v>
      </c>
      <c r="G93" s="30">
        <v>120.0</v>
      </c>
      <c r="H93" s="30">
        <v>934.0</v>
      </c>
      <c r="I93" s="33">
        <f t="shared" si="6"/>
        <v>4670</v>
      </c>
    </row>
    <row r="94">
      <c r="A94" s="42" t="s">
        <v>2296</v>
      </c>
      <c r="B94" s="30">
        <v>0.8</v>
      </c>
      <c r="C94" s="30">
        <v>1.3</v>
      </c>
      <c r="D94" s="30">
        <v>2.1</v>
      </c>
      <c r="E94" s="30">
        <v>3.3</v>
      </c>
      <c r="F94" s="30">
        <v>20.0</v>
      </c>
      <c r="G94" s="30">
        <v>120.0</v>
      </c>
      <c r="H94" s="30">
        <v>828.0</v>
      </c>
      <c r="I94" s="33">
        <f t="shared" si="6"/>
        <v>4140</v>
      </c>
    </row>
    <row r="95">
      <c r="A95" s="42" t="s">
        <v>2297</v>
      </c>
      <c r="B95" s="30">
        <v>0.3</v>
      </c>
      <c r="C95" s="30">
        <v>0.5</v>
      </c>
      <c r="D95" s="30">
        <v>0.8</v>
      </c>
      <c r="E95" s="30">
        <v>1.3</v>
      </c>
      <c r="F95" s="30">
        <v>20.0</v>
      </c>
      <c r="G95" s="30">
        <v>120.0</v>
      </c>
      <c r="H95" s="30">
        <v>809.0</v>
      </c>
      <c r="I95" s="33">
        <f t="shared" si="6"/>
        <v>4045</v>
      </c>
    </row>
    <row r="96">
      <c r="A96" s="42" t="s">
        <v>2298</v>
      </c>
      <c r="B96" s="30">
        <v>0.3</v>
      </c>
      <c r="C96" s="30">
        <v>0.5</v>
      </c>
      <c r="D96" s="30">
        <v>0.8</v>
      </c>
      <c r="E96" s="30">
        <v>1.3</v>
      </c>
      <c r="F96" s="30">
        <v>20.0</v>
      </c>
      <c r="G96" s="30">
        <v>120.0</v>
      </c>
      <c r="H96" s="30">
        <v>878.0</v>
      </c>
      <c r="I96" s="33">
        <f t="shared" si="6"/>
        <v>4390</v>
      </c>
    </row>
    <row r="97">
      <c r="A97" s="42" t="s">
        <v>2299</v>
      </c>
      <c r="B97" s="30">
        <v>0.3</v>
      </c>
      <c r="C97" s="30">
        <v>0.5</v>
      </c>
      <c r="D97" s="30">
        <v>0.8</v>
      </c>
      <c r="E97" s="30">
        <v>1.3</v>
      </c>
      <c r="F97" s="30">
        <v>20.0</v>
      </c>
      <c r="G97" s="30">
        <v>120.0</v>
      </c>
      <c r="H97" s="30">
        <v>800.0</v>
      </c>
      <c r="I97" s="33">
        <f t="shared" si="6"/>
        <v>4000</v>
      </c>
    </row>
    <row r="98">
      <c r="A98" s="42" t="s">
        <v>2300</v>
      </c>
      <c r="B98" s="30">
        <v>0.8</v>
      </c>
      <c r="C98" s="30">
        <v>1.3</v>
      </c>
      <c r="D98" s="30">
        <v>2.1</v>
      </c>
      <c r="E98" s="30">
        <v>3.3</v>
      </c>
      <c r="F98" s="30">
        <v>20.0</v>
      </c>
      <c r="G98" s="30">
        <v>120.0</v>
      </c>
      <c r="H98" s="30">
        <v>774.0</v>
      </c>
      <c r="I98" s="33">
        <f t="shared" si="6"/>
        <v>3870</v>
      </c>
    </row>
    <row r="99">
      <c r="A99" s="42" t="s">
        <v>2301</v>
      </c>
      <c r="B99" s="30">
        <v>0.4</v>
      </c>
      <c r="C99" s="30">
        <v>0.7</v>
      </c>
      <c r="D99" s="30">
        <v>1.1</v>
      </c>
      <c r="E99" s="30">
        <v>1.7</v>
      </c>
      <c r="F99" s="30">
        <v>20.0</v>
      </c>
      <c r="G99" s="30">
        <v>120.0</v>
      </c>
      <c r="H99" s="30">
        <v>764.0</v>
      </c>
      <c r="I99" s="33">
        <f t="shared" si="6"/>
        <v>3820</v>
      </c>
    </row>
    <row r="100">
      <c r="A100" s="42" t="s">
        <v>2302</v>
      </c>
      <c r="B100" s="30">
        <v>0.4</v>
      </c>
      <c r="C100" s="30">
        <v>0.7</v>
      </c>
      <c r="D100" s="30">
        <v>1.1</v>
      </c>
      <c r="E100" s="30">
        <v>1.7</v>
      </c>
      <c r="F100" s="30">
        <v>20.0</v>
      </c>
      <c r="G100" s="30">
        <v>120.0</v>
      </c>
      <c r="H100" s="30">
        <v>752.0</v>
      </c>
      <c r="I100" s="33">
        <f t="shared" si="6"/>
        <v>3760</v>
      </c>
    </row>
    <row r="101">
      <c r="A101" s="42" t="s">
        <v>2303</v>
      </c>
      <c r="B101" s="30">
        <v>0.4</v>
      </c>
      <c r="C101" s="30">
        <v>0.7</v>
      </c>
      <c r="D101" s="30">
        <v>1.1</v>
      </c>
      <c r="E101" s="30">
        <v>1.7</v>
      </c>
      <c r="F101" s="30">
        <v>20.0</v>
      </c>
      <c r="G101" s="30">
        <v>121.0</v>
      </c>
      <c r="H101" s="30">
        <v>715.0</v>
      </c>
      <c r="I101" s="33">
        <f t="shared" si="6"/>
        <v>3575</v>
      </c>
    </row>
    <row r="102">
      <c r="A102" s="42" t="s">
        <v>2304</v>
      </c>
      <c r="B102" s="30">
        <v>0.4</v>
      </c>
      <c r="C102" s="30">
        <v>0.7</v>
      </c>
      <c r="D102" s="30">
        <v>1.1</v>
      </c>
      <c r="E102" s="30">
        <v>1.7</v>
      </c>
      <c r="F102" s="30">
        <v>20.0</v>
      </c>
      <c r="G102" s="30">
        <v>120.0</v>
      </c>
      <c r="H102" s="30">
        <v>775.0</v>
      </c>
      <c r="I102" s="33">
        <f t="shared" si="6"/>
        <v>3875</v>
      </c>
    </row>
    <row r="103">
      <c r="A103" s="42" t="s">
        <v>2305</v>
      </c>
      <c r="B103" s="30">
        <v>0.4</v>
      </c>
      <c r="C103" s="30">
        <v>0.7</v>
      </c>
      <c r="D103" s="30">
        <v>1.1</v>
      </c>
      <c r="E103" s="30">
        <v>1.7</v>
      </c>
      <c r="F103" s="30">
        <v>20.0</v>
      </c>
      <c r="G103" s="30">
        <v>120.0</v>
      </c>
      <c r="H103" s="30">
        <v>847.0</v>
      </c>
      <c r="I103" s="33">
        <f t="shared" si="6"/>
        <v>4235</v>
      </c>
    </row>
    <row r="104">
      <c r="A104" s="42" t="s">
        <v>2306</v>
      </c>
      <c r="B104" s="30">
        <v>0.8</v>
      </c>
      <c r="C104" s="30">
        <v>1.3</v>
      </c>
      <c r="D104" s="30">
        <v>2.1</v>
      </c>
      <c r="E104" s="30">
        <v>3.3</v>
      </c>
      <c r="F104" s="30">
        <v>20.0</v>
      </c>
      <c r="G104" s="30">
        <v>120.0</v>
      </c>
      <c r="H104" s="30">
        <v>1800.0</v>
      </c>
      <c r="I104" s="33">
        <f t="shared" si="6"/>
        <v>9000</v>
      </c>
    </row>
  </sheetData>
  <conditionalFormatting sqref="B2:E81">
    <cfRule type="expression" dxfId="0" priority="1">
      <formula>$B2=1</formula>
    </cfRule>
  </conditionalFormatting>
  <conditionalFormatting sqref="B2:E81">
    <cfRule type="containsBlanks" dxfId="1" priority="2">
      <formula>LEN(TRIM(B2))=0</formula>
    </cfRule>
  </conditionalFormatting>
  <conditionalFormatting sqref="B2:E81">
    <cfRule type="notContainsBlanks" dxfId="2" priority="3">
      <formula>LEN(TRIM(B2))&gt;0</formula>
    </cfRule>
  </conditionalFormatting>
  <dataValidations>
    <dataValidation type="list" allowBlank="1" showErrorMessage="1" sqref="B2:B81">
      <formula1>"Strength,Agility,Intelligence,Luck,Spirit,Endurance"</formula1>
    </dataValidation>
    <dataValidation type="list" allowBlank="1" showErrorMessage="1" sqref="E2:E81">
      <formula1>"Physical,Magic,Overall"</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25"/>
    <col customWidth="1" min="5" max="5" width="9.0"/>
    <col customWidth="1" min="7" max="14" width="5.88"/>
  </cols>
  <sheetData>
    <row r="1">
      <c r="A1" s="1" t="s">
        <v>2174</v>
      </c>
      <c r="B1" s="2" t="s">
        <v>2175</v>
      </c>
      <c r="C1" s="2" t="s">
        <v>2176</v>
      </c>
      <c r="D1" s="130" t="s">
        <v>2307</v>
      </c>
      <c r="E1" s="84" t="s">
        <v>2177</v>
      </c>
      <c r="F1" s="2" t="s">
        <v>2178</v>
      </c>
      <c r="G1" s="42" t="s">
        <v>2281</v>
      </c>
      <c r="H1" s="42" t="s">
        <v>2282</v>
      </c>
      <c r="I1" s="42" t="s">
        <v>2283</v>
      </c>
      <c r="J1" s="42" t="s">
        <v>2284</v>
      </c>
      <c r="K1" s="30" t="s">
        <v>2308</v>
      </c>
      <c r="L1" s="30" t="s">
        <v>2309</v>
      </c>
      <c r="M1" s="30" t="s">
        <v>2310</v>
      </c>
      <c r="N1" s="30" t="s">
        <v>2311</v>
      </c>
    </row>
    <row r="2">
      <c r="A2" s="42" t="s">
        <v>2285</v>
      </c>
      <c r="B2" s="66" t="s">
        <v>2180</v>
      </c>
      <c r="C2" s="86" t="b">
        <v>0</v>
      </c>
      <c r="D2" s="86" t="b">
        <v>1</v>
      </c>
      <c r="E2" s="87"/>
      <c r="F2" s="66" t="s">
        <v>2182</v>
      </c>
      <c r="G2" s="42">
        <v>20.0</v>
      </c>
      <c r="H2" s="42">
        <v>120.0</v>
      </c>
      <c r="I2" s="42">
        <v>20.0</v>
      </c>
      <c r="J2" s="33">
        <f t="shared" ref="J2:J24" si="1">I2*5</f>
        <v>100</v>
      </c>
      <c r="K2" s="30">
        <v>0.3</v>
      </c>
      <c r="L2" s="30">
        <v>0.5</v>
      </c>
      <c r="M2" s="30">
        <v>0.8</v>
      </c>
      <c r="N2" s="30">
        <v>1.3</v>
      </c>
    </row>
    <row r="3">
      <c r="A3" s="42" t="s">
        <v>2286</v>
      </c>
      <c r="B3" s="66" t="s">
        <v>2180</v>
      </c>
      <c r="C3" s="86" t="b">
        <v>0</v>
      </c>
      <c r="D3" s="86" t="b">
        <v>1</v>
      </c>
      <c r="E3" s="87"/>
      <c r="F3" s="66" t="s">
        <v>2182</v>
      </c>
      <c r="G3" s="30">
        <v>20.0</v>
      </c>
      <c r="H3" s="30">
        <v>120.0</v>
      </c>
      <c r="I3" s="30">
        <v>897.0</v>
      </c>
      <c r="J3" s="33">
        <f t="shared" si="1"/>
        <v>4485</v>
      </c>
      <c r="K3" s="30">
        <v>0.8</v>
      </c>
      <c r="L3" s="30">
        <v>1.3</v>
      </c>
      <c r="M3" s="30">
        <v>2.1</v>
      </c>
      <c r="N3" s="30">
        <v>3.3</v>
      </c>
    </row>
    <row r="4">
      <c r="A4" s="42" t="s">
        <v>2287</v>
      </c>
      <c r="B4" s="66" t="s">
        <v>2180</v>
      </c>
      <c r="C4" s="86" t="b">
        <v>0</v>
      </c>
      <c r="D4" s="86" t="b">
        <v>1</v>
      </c>
      <c r="E4" s="87"/>
      <c r="F4" s="66" t="s">
        <v>2182</v>
      </c>
      <c r="G4" s="30">
        <v>20.0</v>
      </c>
      <c r="H4" s="30">
        <v>120.0</v>
      </c>
      <c r="I4" s="30">
        <v>792.0</v>
      </c>
      <c r="J4" s="33">
        <f t="shared" si="1"/>
        <v>3960</v>
      </c>
      <c r="K4" s="30">
        <v>0.8</v>
      </c>
      <c r="L4" s="30">
        <v>1.3</v>
      </c>
      <c r="M4" s="30">
        <v>2.1</v>
      </c>
      <c r="N4" s="30">
        <v>3.3</v>
      </c>
    </row>
    <row r="5">
      <c r="A5" s="42" t="s">
        <v>2288</v>
      </c>
      <c r="B5" s="66" t="s">
        <v>2180</v>
      </c>
      <c r="C5" s="86" t="b">
        <v>0</v>
      </c>
      <c r="D5" s="86" t="b">
        <v>1</v>
      </c>
      <c r="E5" s="87"/>
      <c r="F5" s="66" t="s">
        <v>2182</v>
      </c>
      <c r="G5" s="30">
        <v>20.0</v>
      </c>
      <c r="H5" s="30">
        <v>120.0</v>
      </c>
      <c r="I5" s="30">
        <v>724.0</v>
      </c>
      <c r="J5" s="33">
        <f t="shared" si="1"/>
        <v>3620</v>
      </c>
      <c r="K5" s="30">
        <v>0.8</v>
      </c>
      <c r="L5" s="30">
        <v>1.3</v>
      </c>
      <c r="M5" s="30">
        <v>2.1</v>
      </c>
      <c r="N5" s="30">
        <v>3.3</v>
      </c>
    </row>
    <row r="6">
      <c r="A6" s="42" t="s">
        <v>2292</v>
      </c>
      <c r="B6" s="66" t="s">
        <v>845</v>
      </c>
      <c r="C6" s="86" t="b">
        <v>0</v>
      </c>
      <c r="D6" s="86" t="b">
        <v>1</v>
      </c>
      <c r="E6" s="87"/>
      <c r="F6" s="66" t="s">
        <v>2182</v>
      </c>
      <c r="G6" s="30">
        <v>20.0</v>
      </c>
      <c r="H6" s="30">
        <v>120.0</v>
      </c>
      <c r="I6" s="30">
        <v>883.0</v>
      </c>
      <c r="J6" s="33">
        <f t="shared" si="1"/>
        <v>4415</v>
      </c>
      <c r="K6" s="30">
        <v>0.4</v>
      </c>
      <c r="L6" s="30">
        <v>0.7</v>
      </c>
      <c r="M6" s="30">
        <v>1.1</v>
      </c>
      <c r="N6" s="30">
        <v>1.7</v>
      </c>
    </row>
    <row r="7">
      <c r="A7" s="42" t="s">
        <v>2293</v>
      </c>
      <c r="B7" s="66" t="s">
        <v>845</v>
      </c>
      <c r="C7" s="86" t="b">
        <v>0</v>
      </c>
      <c r="D7" s="86" t="b">
        <v>1</v>
      </c>
      <c r="E7" s="87"/>
      <c r="F7" s="66" t="s">
        <v>2182</v>
      </c>
      <c r="G7" s="30">
        <v>20.0</v>
      </c>
      <c r="H7" s="30">
        <v>120.0</v>
      </c>
      <c r="I7" s="30">
        <v>837.0</v>
      </c>
      <c r="J7" s="33">
        <f t="shared" si="1"/>
        <v>4185</v>
      </c>
      <c r="K7" s="30">
        <v>0.4</v>
      </c>
      <c r="L7" s="30">
        <v>0.7</v>
      </c>
      <c r="M7" s="30">
        <v>1.1</v>
      </c>
      <c r="N7" s="30">
        <v>1.7</v>
      </c>
    </row>
    <row r="8">
      <c r="A8" s="42" t="s">
        <v>2294</v>
      </c>
      <c r="B8" s="66" t="s">
        <v>845</v>
      </c>
      <c r="C8" s="86" t="b">
        <v>0</v>
      </c>
      <c r="D8" s="86" t="b">
        <v>1</v>
      </c>
      <c r="E8" s="87"/>
      <c r="F8" s="66" t="s">
        <v>2182</v>
      </c>
      <c r="G8" s="30">
        <v>20.0</v>
      </c>
      <c r="H8" s="30">
        <v>120.0</v>
      </c>
      <c r="I8" s="30">
        <v>794.0</v>
      </c>
      <c r="J8" s="33">
        <f t="shared" si="1"/>
        <v>3970</v>
      </c>
      <c r="K8" s="30">
        <v>0.4</v>
      </c>
      <c r="L8" s="30">
        <v>0.7</v>
      </c>
      <c r="M8" s="30">
        <v>1.1</v>
      </c>
      <c r="N8" s="30">
        <v>1.7</v>
      </c>
    </row>
    <row r="9">
      <c r="A9" s="42" t="s">
        <v>2302</v>
      </c>
      <c r="B9" s="66" t="s">
        <v>2189</v>
      </c>
      <c r="C9" s="86" t="b">
        <v>0</v>
      </c>
      <c r="D9" s="86" t="b">
        <v>1</v>
      </c>
      <c r="E9" s="87"/>
      <c r="F9" s="66" t="s">
        <v>2182</v>
      </c>
      <c r="G9" s="30">
        <v>20.0</v>
      </c>
      <c r="H9" s="30">
        <v>120.0</v>
      </c>
      <c r="I9" s="30">
        <v>752.0</v>
      </c>
      <c r="J9" s="33">
        <f t="shared" si="1"/>
        <v>3760</v>
      </c>
      <c r="K9" s="30">
        <v>0.4</v>
      </c>
      <c r="L9" s="30">
        <v>0.7</v>
      </c>
      <c r="M9" s="30">
        <v>1.1</v>
      </c>
      <c r="N9" s="30">
        <v>1.7</v>
      </c>
    </row>
    <row r="10">
      <c r="A10" s="42" t="s">
        <v>2303</v>
      </c>
      <c r="B10" s="66" t="s">
        <v>2189</v>
      </c>
      <c r="C10" s="86" t="b">
        <v>0</v>
      </c>
      <c r="D10" s="86" t="b">
        <v>1</v>
      </c>
      <c r="E10" s="87"/>
      <c r="F10" s="66" t="s">
        <v>2182</v>
      </c>
      <c r="G10" s="30">
        <v>20.0</v>
      </c>
      <c r="H10" s="30">
        <v>121.0</v>
      </c>
      <c r="I10" s="30">
        <v>715.0</v>
      </c>
      <c r="J10" s="33">
        <f t="shared" si="1"/>
        <v>3575</v>
      </c>
      <c r="K10" s="30">
        <v>0.4</v>
      </c>
      <c r="L10" s="30">
        <v>0.7</v>
      </c>
      <c r="M10" s="30">
        <v>1.1</v>
      </c>
      <c r="N10" s="30">
        <v>1.7</v>
      </c>
    </row>
    <row r="11">
      <c r="A11" s="42" t="s">
        <v>2304</v>
      </c>
      <c r="B11" s="66" t="s">
        <v>2189</v>
      </c>
      <c r="C11" s="86" t="b">
        <v>0</v>
      </c>
      <c r="D11" s="86" t="b">
        <v>1</v>
      </c>
      <c r="E11" s="87"/>
      <c r="F11" s="66" t="s">
        <v>2182</v>
      </c>
      <c r="G11" s="30">
        <v>20.0</v>
      </c>
      <c r="H11" s="30">
        <v>120.0</v>
      </c>
      <c r="I11" s="30">
        <v>775.0</v>
      </c>
      <c r="J11" s="33">
        <f t="shared" si="1"/>
        <v>3875</v>
      </c>
      <c r="K11" s="30">
        <v>0.4</v>
      </c>
      <c r="L11" s="30">
        <v>0.7</v>
      </c>
      <c r="M11" s="30">
        <v>1.1</v>
      </c>
      <c r="N11" s="30">
        <v>1.7</v>
      </c>
    </row>
    <row r="12">
      <c r="A12" s="42" t="s">
        <v>2295</v>
      </c>
      <c r="B12" s="66" t="s">
        <v>2216</v>
      </c>
      <c r="C12" s="86" t="b">
        <v>0</v>
      </c>
      <c r="D12" s="86" t="b">
        <v>1</v>
      </c>
      <c r="E12" s="87"/>
      <c r="F12" s="66" t="s">
        <v>193</v>
      </c>
      <c r="G12" s="30">
        <v>20.0</v>
      </c>
      <c r="H12" s="30">
        <v>120.0</v>
      </c>
      <c r="I12" s="30">
        <v>934.0</v>
      </c>
      <c r="J12" s="33">
        <f t="shared" si="1"/>
        <v>4670</v>
      </c>
      <c r="K12" s="30">
        <v>0.3</v>
      </c>
      <c r="L12" s="30">
        <v>0.5</v>
      </c>
      <c r="M12" s="30">
        <v>0.8</v>
      </c>
      <c r="N12" s="30">
        <v>1.3</v>
      </c>
    </row>
    <row r="13">
      <c r="A13" s="42" t="s">
        <v>2296</v>
      </c>
      <c r="B13" s="66" t="s">
        <v>2216</v>
      </c>
      <c r="C13" s="86" t="b">
        <v>0</v>
      </c>
      <c r="D13" s="86" t="b">
        <v>1</v>
      </c>
      <c r="E13" s="87"/>
      <c r="F13" s="66" t="s">
        <v>193</v>
      </c>
      <c r="G13" s="30">
        <v>20.0</v>
      </c>
      <c r="H13" s="30">
        <v>120.0</v>
      </c>
      <c r="I13" s="30">
        <v>828.0</v>
      </c>
      <c r="J13" s="33">
        <f t="shared" si="1"/>
        <v>4140</v>
      </c>
      <c r="K13" s="30">
        <v>0.8</v>
      </c>
      <c r="L13" s="30">
        <v>1.3</v>
      </c>
      <c r="M13" s="30">
        <v>2.1</v>
      </c>
      <c r="N13" s="30">
        <v>3.3</v>
      </c>
    </row>
    <row r="14">
      <c r="A14" s="42" t="s">
        <v>2305</v>
      </c>
      <c r="B14" s="66" t="s">
        <v>2189</v>
      </c>
      <c r="C14" s="86" t="b">
        <v>0</v>
      </c>
      <c r="D14" s="86" t="b">
        <v>1</v>
      </c>
      <c r="E14" s="87"/>
      <c r="F14" s="66" t="s">
        <v>193</v>
      </c>
      <c r="G14" s="30">
        <v>20.0</v>
      </c>
      <c r="H14" s="30">
        <v>120.0</v>
      </c>
      <c r="I14" s="30">
        <v>847.0</v>
      </c>
      <c r="J14" s="33">
        <f t="shared" si="1"/>
        <v>4235</v>
      </c>
      <c r="K14" s="30">
        <v>0.4</v>
      </c>
      <c r="L14" s="30">
        <v>0.7</v>
      </c>
      <c r="M14" s="30">
        <v>1.1</v>
      </c>
      <c r="N14" s="30">
        <v>1.7</v>
      </c>
    </row>
    <row r="15">
      <c r="A15" s="42" t="s">
        <v>2289</v>
      </c>
      <c r="B15" s="66" t="s">
        <v>2180</v>
      </c>
      <c r="C15" s="86" t="b">
        <v>0</v>
      </c>
      <c r="D15" s="86" t="b">
        <v>1</v>
      </c>
      <c r="E15" s="87"/>
      <c r="F15" s="66" t="s">
        <v>523</v>
      </c>
      <c r="G15" s="30">
        <v>20.0</v>
      </c>
      <c r="H15" s="30">
        <v>120.0</v>
      </c>
      <c r="I15" s="30">
        <v>990.0</v>
      </c>
      <c r="J15" s="33">
        <f t="shared" si="1"/>
        <v>4950</v>
      </c>
      <c r="K15" s="30">
        <v>0.3</v>
      </c>
      <c r="L15" s="30">
        <v>0.5</v>
      </c>
      <c r="M15" s="30">
        <v>0.8</v>
      </c>
      <c r="N15" s="30">
        <v>1.3</v>
      </c>
    </row>
    <row r="16">
      <c r="A16" s="42" t="s">
        <v>2290</v>
      </c>
      <c r="B16" s="66" t="s">
        <v>845</v>
      </c>
      <c r="C16" s="86" t="b">
        <v>0</v>
      </c>
      <c r="D16" s="86" t="b">
        <v>1</v>
      </c>
      <c r="E16" s="87"/>
      <c r="F16" s="66" t="s">
        <v>523</v>
      </c>
      <c r="G16" s="30">
        <v>20.0</v>
      </c>
      <c r="H16" s="30">
        <v>120.0</v>
      </c>
      <c r="I16" s="30">
        <v>782.0</v>
      </c>
      <c r="J16" s="33">
        <f t="shared" si="1"/>
        <v>3910</v>
      </c>
      <c r="K16" s="30">
        <v>0.3</v>
      </c>
      <c r="L16" s="30">
        <v>0.5</v>
      </c>
      <c r="M16" s="30">
        <v>0.8</v>
      </c>
      <c r="N16" s="30">
        <v>1.3</v>
      </c>
    </row>
    <row r="17">
      <c r="A17" s="42" t="s">
        <v>2291</v>
      </c>
      <c r="B17" s="66" t="s">
        <v>845</v>
      </c>
      <c r="C17" s="86" t="b">
        <v>0</v>
      </c>
      <c r="D17" s="86" t="b">
        <v>1</v>
      </c>
      <c r="E17" s="87"/>
      <c r="F17" s="66" t="s">
        <v>523</v>
      </c>
      <c r="G17" s="30">
        <v>20.0</v>
      </c>
      <c r="H17" s="30">
        <v>120.0</v>
      </c>
      <c r="I17" s="30">
        <v>1061.0</v>
      </c>
      <c r="J17" s="33">
        <f t="shared" si="1"/>
        <v>5305</v>
      </c>
      <c r="K17" s="30">
        <v>0.3</v>
      </c>
      <c r="L17" s="30">
        <v>0.5</v>
      </c>
      <c r="M17" s="30">
        <v>0.8</v>
      </c>
      <c r="N17" s="30">
        <v>1.3</v>
      </c>
    </row>
    <row r="18">
      <c r="A18" s="42" t="s">
        <v>2269</v>
      </c>
      <c r="B18" s="66" t="s">
        <v>845</v>
      </c>
      <c r="C18" s="86" t="b">
        <v>0</v>
      </c>
      <c r="D18" s="86" t="b">
        <v>1</v>
      </c>
      <c r="E18" s="87"/>
      <c r="F18" s="66" t="s">
        <v>523</v>
      </c>
      <c r="G18" s="30">
        <v>20.0</v>
      </c>
      <c r="H18" s="30">
        <v>120.0</v>
      </c>
      <c r="I18" s="30">
        <v>2127.0</v>
      </c>
      <c r="J18" s="33">
        <f t="shared" si="1"/>
        <v>10635</v>
      </c>
      <c r="K18" s="30">
        <v>7.0</v>
      </c>
      <c r="L18" s="30">
        <v>11.0</v>
      </c>
      <c r="M18" s="30">
        <v>17.0</v>
      </c>
      <c r="N18" s="30">
        <v>27.0</v>
      </c>
    </row>
    <row r="19">
      <c r="A19" s="42" t="s">
        <v>2297</v>
      </c>
      <c r="B19" s="66" t="s">
        <v>2229</v>
      </c>
      <c r="C19" s="86" t="b">
        <v>0</v>
      </c>
      <c r="D19" s="86" t="b">
        <v>1</v>
      </c>
      <c r="E19" s="87"/>
      <c r="F19" s="66" t="s">
        <v>523</v>
      </c>
      <c r="G19" s="30">
        <v>20.0</v>
      </c>
      <c r="H19" s="30">
        <v>120.0</v>
      </c>
      <c r="I19" s="30">
        <v>809.0</v>
      </c>
      <c r="J19" s="33">
        <f t="shared" si="1"/>
        <v>4045</v>
      </c>
      <c r="K19" s="30">
        <v>0.3</v>
      </c>
      <c r="L19" s="30">
        <v>0.5</v>
      </c>
      <c r="M19" s="30">
        <v>0.8</v>
      </c>
      <c r="N19" s="30">
        <v>1.3</v>
      </c>
    </row>
    <row r="20">
      <c r="A20" s="42" t="s">
        <v>2298</v>
      </c>
      <c r="B20" s="66" t="s">
        <v>2229</v>
      </c>
      <c r="C20" s="86" t="b">
        <v>0</v>
      </c>
      <c r="D20" s="86" t="b">
        <v>1</v>
      </c>
      <c r="E20" s="87"/>
      <c r="F20" s="66" t="s">
        <v>523</v>
      </c>
      <c r="G20" s="30">
        <v>20.0</v>
      </c>
      <c r="H20" s="30">
        <v>120.0</v>
      </c>
      <c r="I20" s="30">
        <v>878.0</v>
      </c>
      <c r="J20" s="33">
        <f t="shared" si="1"/>
        <v>4390</v>
      </c>
      <c r="K20" s="30">
        <v>0.3</v>
      </c>
      <c r="L20" s="30">
        <v>0.5</v>
      </c>
      <c r="M20" s="30">
        <v>0.8</v>
      </c>
      <c r="N20" s="30">
        <v>1.3</v>
      </c>
    </row>
    <row r="21">
      <c r="A21" s="42" t="s">
        <v>2299</v>
      </c>
      <c r="B21" s="66" t="s">
        <v>2203</v>
      </c>
      <c r="C21" s="86" t="b">
        <v>0</v>
      </c>
      <c r="D21" s="86" t="b">
        <v>1</v>
      </c>
      <c r="E21" s="87"/>
      <c r="F21" s="66" t="s">
        <v>523</v>
      </c>
      <c r="G21" s="30">
        <v>20.0</v>
      </c>
      <c r="H21" s="30">
        <v>120.0</v>
      </c>
      <c r="I21" s="30">
        <v>800.0</v>
      </c>
      <c r="J21" s="33">
        <f t="shared" si="1"/>
        <v>4000</v>
      </c>
      <c r="K21" s="30">
        <v>0.3</v>
      </c>
      <c r="L21" s="30">
        <v>0.5</v>
      </c>
      <c r="M21" s="30">
        <v>0.8</v>
      </c>
      <c r="N21" s="30">
        <v>1.3</v>
      </c>
    </row>
    <row r="22">
      <c r="A22" s="42" t="s">
        <v>2300</v>
      </c>
      <c r="B22" s="66" t="s">
        <v>2203</v>
      </c>
      <c r="C22" s="86" t="b">
        <v>0</v>
      </c>
      <c r="D22" s="86" t="b">
        <v>1</v>
      </c>
      <c r="E22" s="87"/>
      <c r="F22" s="66" t="s">
        <v>523</v>
      </c>
      <c r="G22" s="30">
        <v>20.0</v>
      </c>
      <c r="H22" s="30">
        <v>120.0</v>
      </c>
      <c r="I22" s="30">
        <v>774.0</v>
      </c>
      <c r="J22" s="33">
        <f t="shared" si="1"/>
        <v>3870</v>
      </c>
      <c r="K22" s="30">
        <v>0.8</v>
      </c>
      <c r="L22" s="30">
        <v>1.3</v>
      </c>
      <c r="M22" s="30">
        <v>2.1</v>
      </c>
      <c r="N22" s="30">
        <v>3.3</v>
      </c>
    </row>
    <row r="23">
      <c r="A23" s="42" t="s">
        <v>2301</v>
      </c>
      <c r="B23" s="66" t="s">
        <v>2189</v>
      </c>
      <c r="C23" s="86" t="b">
        <v>0</v>
      </c>
      <c r="D23" s="86" t="b">
        <v>1</v>
      </c>
      <c r="E23" s="87"/>
      <c r="F23" s="66" t="s">
        <v>523</v>
      </c>
      <c r="G23" s="30">
        <v>20.0</v>
      </c>
      <c r="H23" s="30">
        <v>120.0</v>
      </c>
      <c r="I23" s="30">
        <v>764.0</v>
      </c>
      <c r="J23" s="33">
        <f t="shared" si="1"/>
        <v>3820</v>
      </c>
      <c r="K23" s="30">
        <v>0.4</v>
      </c>
      <c r="L23" s="30">
        <v>0.7</v>
      </c>
      <c r="M23" s="30">
        <v>1.1</v>
      </c>
      <c r="N23" s="30">
        <v>1.7</v>
      </c>
    </row>
    <row r="24">
      <c r="A24" s="42" t="s">
        <v>2306</v>
      </c>
      <c r="B24" s="66" t="s">
        <v>2189</v>
      </c>
      <c r="C24" s="86" t="b">
        <v>0</v>
      </c>
      <c r="D24" s="86" t="b">
        <v>1</v>
      </c>
      <c r="E24" s="87"/>
      <c r="F24" s="66" t="s">
        <v>523</v>
      </c>
      <c r="G24" s="30">
        <v>20.0</v>
      </c>
      <c r="H24" s="30">
        <v>120.0</v>
      </c>
      <c r="I24" s="30">
        <v>1800.0</v>
      </c>
      <c r="J24" s="33">
        <f t="shared" si="1"/>
        <v>9000</v>
      </c>
      <c r="K24" s="30">
        <v>0.8</v>
      </c>
      <c r="L24" s="30">
        <v>1.3</v>
      </c>
      <c r="M24" s="30">
        <v>2.1</v>
      </c>
      <c r="N24" s="30">
        <v>3.3</v>
      </c>
    </row>
  </sheetData>
  <conditionalFormatting sqref="B2:F24">
    <cfRule type="expression" dxfId="0" priority="1">
      <formula>$B2=1</formula>
    </cfRule>
  </conditionalFormatting>
  <conditionalFormatting sqref="B2:F24">
    <cfRule type="containsBlanks" dxfId="1" priority="2">
      <formula>LEN(TRIM(B2))=0</formula>
    </cfRule>
  </conditionalFormatting>
  <conditionalFormatting sqref="B2:F24">
    <cfRule type="notContainsBlanks" dxfId="2" priority="3">
      <formula>LEN(TRIM(B2))&gt;0</formula>
    </cfRule>
  </conditionalFormatting>
  <dataValidations>
    <dataValidation type="list" allowBlank="1" showErrorMessage="1" sqref="B2:B24">
      <formula1>"Strength,Agility,Intelligence,Luck,Spirit,Endurance"</formula1>
    </dataValidation>
    <dataValidation type="list" allowBlank="1" showErrorMessage="1" sqref="F2:F24">
      <formula1>"Physical,Magic,Overall"</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4" max="4" width="16.13"/>
  </cols>
  <sheetData>
    <row r="1">
      <c r="A1" s="131" t="s">
        <v>86</v>
      </c>
      <c r="B1" s="131" t="s">
        <v>2312</v>
      </c>
      <c r="C1" s="131" t="s">
        <v>2313</v>
      </c>
      <c r="D1" s="131" t="s">
        <v>2314</v>
      </c>
      <c r="E1" s="131" t="s">
        <v>2315</v>
      </c>
      <c r="F1" s="131" t="s">
        <v>2316</v>
      </c>
      <c r="G1" s="131" t="s">
        <v>2317</v>
      </c>
    </row>
    <row r="2">
      <c r="A2" s="42" t="s">
        <v>2318</v>
      </c>
      <c r="B2" s="42">
        <v>0.0</v>
      </c>
      <c r="C2" s="42" t="s">
        <v>2319</v>
      </c>
      <c r="D2" s="42" t="s">
        <v>2320</v>
      </c>
    </row>
    <row r="3">
      <c r="A3" s="42" t="s">
        <v>2321</v>
      </c>
      <c r="B3" s="42">
        <v>1.5</v>
      </c>
      <c r="C3" s="42" t="s">
        <v>2322</v>
      </c>
    </row>
    <row r="4">
      <c r="A4" s="42" t="s">
        <v>2323</v>
      </c>
      <c r="B4" s="42">
        <v>1.5</v>
      </c>
      <c r="E4" s="42">
        <v>1.0</v>
      </c>
      <c r="F4" s="42" t="s">
        <v>2324</v>
      </c>
    </row>
    <row r="5">
      <c r="A5" s="42" t="s">
        <v>2325</v>
      </c>
      <c r="B5" s="42">
        <v>2.0</v>
      </c>
    </row>
    <row r="6">
      <c r="A6" s="42" t="s">
        <v>2326</v>
      </c>
      <c r="B6" s="42">
        <v>1.0</v>
      </c>
      <c r="C6" s="42" t="s">
        <v>2327</v>
      </c>
      <c r="D6" s="42" t="s">
        <v>2328</v>
      </c>
    </row>
    <row r="7">
      <c r="A7" s="42" t="s">
        <v>2329</v>
      </c>
      <c r="B7" s="42">
        <v>2.0</v>
      </c>
      <c r="E7" s="42">
        <v>2.0</v>
      </c>
    </row>
    <row r="8">
      <c r="A8" s="42" t="s">
        <v>2330</v>
      </c>
      <c r="B8" s="42">
        <v>2.0</v>
      </c>
    </row>
    <row r="9">
      <c r="A9" s="42" t="s">
        <v>2331</v>
      </c>
      <c r="B9" s="42">
        <v>1.0</v>
      </c>
      <c r="C9" s="42" t="s">
        <v>2332</v>
      </c>
      <c r="D9" s="42" t="s">
        <v>2333</v>
      </c>
    </row>
    <row r="10">
      <c r="A10" s="42" t="s">
        <v>2334</v>
      </c>
      <c r="B10" s="42">
        <v>2.0</v>
      </c>
      <c r="E10" s="42">
        <v>3.0</v>
      </c>
      <c r="F10" s="42" t="s">
        <v>2335</v>
      </c>
    </row>
    <row r="11">
      <c r="A11" s="42" t="s">
        <v>2336</v>
      </c>
      <c r="B11" s="42">
        <v>2.0</v>
      </c>
      <c r="D11" s="42" t="s">
        <v>2337</v>
      </c>
      <c r="G11" s="42" t="s">
        <v>2338</v>
      </c>
    </row>
    <row r="12">
      <c r="A12" s="42" t="s">
        <v>2339</v>
      </c>
      <c r="B12" s="42">
        <v>2.0</v>
      </c>
    </row>
    <row r="13">
      <c r="A13" s="42" t="s">
        <v>2340</v>
      </c>
      <c r="B13" s="42">
        <v>1.0</v>
      </c>
      <c r="C13" s="42" t="s">
        <v>2341</v>
      </c>
      <c r="D13" s="42" t="s">
        <v>2342</v>
      </c>
    </row>
    <row r="14">
      <c r="A14" s="42" t="s">
        <v>2343</v>
      </c>
      <c r="B14" s="42">
        <v>2.0</v>
      </c>
      <c r="E14" s="42">
        <v>4.0</v>
      </c>
      <c r="F14" s="42" t="s">
        <v>2344</v>
      </c>
    </row>
    <row r="15">
      <c r="A15" s="42" t="s">
        <v>2345</v>
      </c>
      <c r="B15" s="42">
        <v>2.0</v>
      </c>
    </row>
    <row r="16">
      <c r="A16" s="42" t="s">
        <v>2346</v>
      </c>
      <c r="B16" s="42">
        <v>3.0</v>
      </c>
      <c r="E16" s="42">
        <v>5.0</v>
      </c>
    </row>
    <row r="17">
      <c r="A17" s="42" t="s">
        <v>2347</v>
      </c>
      <c r="B17" s="42">
        <v>2.0</v>
      </c>
      <c r="C17" s="42" t="s">
        <v>2348</v>
      </c>
    </row>
    <row r="18">
      <c r="A18" s="42" t="s">
        <v>2349</v>
      </c>
      <c r="B18" s="42">
        <v>3.0</v>
      </c>
    </row>
    <row r="19">
      <c r="A19" s="42" t="s">
        <v>2350</v>
      </c>
      <c r="B19" s="42">
        <v>1.0</v>
      </c>
      <c r="C19" s="42" t="s">
        <v>2351</v>
      </c>
    </row>
    <row r="20">
      <c r="A20" s="42" t="s">
        <v>2352</v>
      </c>
      <c r="B20" s="42">
        <v>2.0</v>
      </c>
      <c r="E20" s="42" t="s">
        <v>2353</v>
      </c>
    </row>
    <row r="21">
      <c r="A21" s="42" t="s">
        <v>2354</v>
      </c>
      <c r="B21" s="42">
        <v>2.0</v>
      </c>
    </row>
    <row r="22">
      <c r="A22" s="42" t="s">
        <v>2355</v>
      </c>
      <c r="B22" s="42">
        <v>2.0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4" max="4" width="16.13"/>
  </cols>
  <sheetData>
    <row r="1">
      <c r="A1" s="131" t="s">
        <v>2174</v>
      </c>
      <c r="B1" s="131" t="s">
        <v>2356</v>
      </c>
      <c r="C1" s="131" t="s">
        <v>2357</v>
      </c>
      <c r="D1" s="131" t="s">
        <v>2358</v>
      </c>
      <c r="E1" s="131" t="s">
        <v>2359</v>
      </c>
      <c r="F1" s="131" t="s">
        <v>2360</v>
      </c>
      <c r="G1" s="131" t="s">
        <v>2361</v>
      </c>
    </row>
    <row r="2">
      <c r="A2" s="42" t="s">
        <v>2318</v>
      </c>
      <c r="B2" s="42">
        <v>0.0</v>
      </c>
      <c r="C2" s="42" t="s">
        <v>2319</v>
      </c>
      <c r="F2" s="42" t="s">
        <v>2324</v>
      </c>
      <c r="G2" s="42" t="s">
        <v>2362</v>
      </c>
    </row>
    <row r="3">
      <c r="A3" s="42" t="s">
        <v>2321</v>
      </c>
      <c r="B3" s="42">
        <v>1.5</v>
      </c>
      <c r="C3" s="42" t="s">
        <v>2363</v>
      </c>
      <c r="D3" s="42" t="s">
        <v>2364</v>
      </c>
    </row>
    <row r="4">
      <c r="A4" s="42" t="s">
        <v>2365</v>
      </c>
      <c r="B4" s="42">
        <v>1.5</v>
      </c>
      <c r="E4" s="42">
        <v>1.0</v>
      </c>
    </row>
    <row r="5">
      <c r="A5" s="42" t="s">
        <v>2325</v>
      </c>
      <c r="B5" s="42">
        <v>2.0</v>
      </c>
    </row>
    <row r="6">
      <c r="A6" s="42" t="s">
        <v>2326</v>
      </c>
      <c r="B6" s="42">
        <v>1.0</v>
      </c>
      <c r="C6" s="42" t="s">
        <v>2366</v>
      </c>
      <c r="D6" s="42" t="s">
        <v>2364</v>
      </c>
    </row>
    <row r="7">
      <c r="A7" s="42" t="s">
        <v>2367</v>
      </c>
      <c r="B7" s="42">
        <v>2.0</v>
      </c>
      <c r="E7" s="42">
        <v>2.0</v>
      </c>
    </row>
    <row r="8">
      <c r="A8" s="42" t="s">
        <v>2330</v>
      </c>
      <c r="B8" s="42">
        <v>2.0</v>
      </c>
      <c r="D8" s="42" t="s">
        <v>2364</v>
      </c>
      <c r="F8" s="42" t="s">
        <v>2335</v>
      </c>
      <c r="G8" s="42" t="s">
        <v>2338</v>
      </c>
    </row>
    <row r="9">
      <c r="A9" s="42" t="s">
        <v>2339</v>
      </c>
      <c r="B9" s="42">
        <v>2.0</v>
      </c>
    </row>
    <row r="10">
      <c r="A10" s="42" t="s">
        <v>2331</v>
      </c>
      <c r="B10" s="42">
        <v>1.0</v>
      </c>
      <c r="D10" s="42" t="s">
        <v>2364</v>
      </c>
      <c r="E10" s="42">
        <v>3.0</v>
      </c>
    </row>
    <row r="11">
      <c r="A11" s="42" t="s">
        <v>2345</v>
      </c>
      <c r="B11" s="42">
        <v>2.0</v>
      </c>
      <c r="C11" s="42" t="s">
        <v>2368</v>
      </c>
      <c r="D11" s="42" t="s">
        <v>2337</v>
      </c>
    </row>
    <row r="12">
      <c r="A12" s="42" t="s">
        <v>2369</v>
      </c>
      <c r="B12" s="42">
        <v>2.0</v>
      </c>
      <c r="D12" s="42" t="s">
        <v>2370</v>
      </c>
    </row>
    <row r="13">
      <c r="A13" s="42" t="s">
        <v>2340</v>
      </c>
      <c r="B13" s="42">
        <v>1.0</v>
      </c>
      <c r="C13" s="42" t="s">
        <v>2341</v>
      </c>
    </row>
    <row r="14">
      <c r="A14" s="42" t="s">
        <v>2343</v>
      </c>
      <c r="B14" s="42">
        <v>2.0</v>
      </c>
      <c r="E14" s="42">
        <v>4.0</v>
      </c>
      <c r="F14" s="42" t="s">
        <v>2344</v>
      </c>
    </row>
    <row r="15">
      <c r="A15" s="42" t="s">
        <v>2336</v>
      </c>
      <c r="B15" s="42">
        <v>2.0</v>
      </c>
    </row>
    <row r="16">
      <c r="A16" s="42" t="s">
        <v>2346</v>
      </c>
      <c r="B16" s="42">
        <v>3.0</v>
      </c>
      <c r="E16" s="42">
        <v>5.0</v>
      </c>
    </row>
    <row r="17">
      <c r="A17" s="42" t="s">
        <v>2347</v>
      </c>
      <c r="B17" s="42">
        <v>2.0</v>
      </c>
      <c r="C17" s="42" t="s">
        <v>2371</v>
      </c>
    </row>
    <row r="18">
      <c r="A18" s="42" t="s">
        <v>2372</v>
      </c>
      <c r="B18" s="42">
        <v>4.0</v>
      </c>
    </row>
    <row r="19">
      <c r="A19" s="42" t="s">
        <v>2373</v>
      </c>
      <c r="B19" s="42">
        <v>1.0</v>
      </c>
      <c r="C19" s="42" t="s">
        <v>2351</v>
      </c>
    </row>
    <row r="20">
      <c r="A20" s="42" t="s">
        <v>2352</v>
      </c>
      <c r="B20" s="42">
        <v>5.0</v>
      </c>
    </row>
    <row r="23">
      <c r="B23" s="33">
        <f>sum(B2:B20)</f>
        <v>37</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4" max="4" width="16.13"/>
  </cols>
  <sheetData>
    <row r="1">
      <c r="A1" s="131" t="s">
        <v>2174</v>
      </c>
      <c r="B1" s="131" t="s">
        <v>2356</v>
      </c>
      <c r="C1" s="131" t="s">
        <v>2357</v>
      </c>
      <c r="D1" s="131" t="s">
        <v>2358</v>
      </c>
      <c r="E1" s="131" t="s">
        <v>2359</v>
      </c>
      <c r="F1" s="131" t="s">
        <v>2361</v>
      </c>
      <c r="G1" s="131" t="s">
        <v>2374</v>
      </c>
    </row>
    <row r="2">
      <c r="A2" s="42" t="s">
        <v>2318</v>
      </c>
      <c r="B2" s="42">
        <v>0.0</v>
      </c>
      <c r="C2" s="42" t="s">
        <v>2319</v>
      </c>
    </row>
    <row r="3">
      <c r="A3" s="42" t="s">
        <v>2321</v>
      </c>
      <c r="B3" s="42">
        <v>1.5</v>
      </c>
      <c r="C3" s="42" t="s">
        <v>2375</v>
      </c>
    </row>
    <row r="4">
      <c r="A4" s="42" t="s">
        <v>2376</v>
      </c>
      <c r="B4" s="42">
        <v>1.5</v>
      </c>
      <c r="E4" s="42">
        <v>1.0</v>
      </c>
    </row>
    <row r="5">
      <c r="A5" s="42" t="s">
        <v>2330</v>
      </c>
      <c r="B5" s="42">
        <v>2.0</v>
      </c>
      <c r="F5" s="42" t="s">
        <v>2362</v>
      </c>
    </row>
    <row r="6">
      <c r="A6" s="42" t="s">
        <v>2377</v>
      </c>
      <c r="B6" s="42">
        <v>2.0</v>
      </c>
    </row>
    <row r="7">
      <c r="A7" s="42" t="s">
        <v>2326</v>
      </c>
      <c r="B7" s="42">
        <v>1.0</v>
      </c>
      <c r="E7" s="42">
        <v>2.0</v>
      </c>
    </row>
    <row r="8">
      <c r="A8" s="42" t="s">
        <v>2325</v>
      </c>
      <c r="B8" s="42">
        <v>2.0</v>
      </c>
      <c r="C8" s="42" t="s">
        <v>2332</v>
      </c>
    </row>
    <row r="9">
      <c r="A9" s="42" t="s">
        <v>2334</v>
      </c>
      <c r="B9" s="42">
        <v>2.0</v>
      </c>
    </row>
    <row r="10">
      <c r="A10" s="42" t="s">
        <v>2331</v>
      </c>
      <c r="B10" s="42">
        <v>1.0</v>
      </c>
      <c r="E10" s="42">
        <v>3.0</v>
      </c>
    </row>
    <row r="11">
      <c r="A11" s="42" t="s">
        <v>2336</v>
      </c>
      <c r="B11" s="42">
        <v>2.0</v>
      </c>
      <c r="C11" s="42" t="s">
        <v>2378</v>
      </c>
    </row>
    <row r="12">
      <c r="A12" s="42" t="s">
        <v>2379</v>
      </c>
      <c r="B12" s="42">
        <v>2.0</v>
      </c>
      <c r="F12" s="42" t="s">
        <v>2338</v>
      </c>
    </row>
    <row r="13">
      <c r="A13" s="42" t="s">
        <v>2339</v>
      </c>
      <c r="B13" s="42">
        <v>2.0</v>
      </c>
      <c r="C13" s="42" t="s">
        <v>2341</v>
      </c>
    </row>
    <row r="14">
      <c r="A14" s="42" t="s">
        <v>2343</v>
      </c>
      <c r="B14" s="42">
        <v>2.0</v>
      </c>
      <c r="E14" s="42">
        <v>4.0</v>
      </c>
      <c r="G14" s="42" t="s">
        <v>2380</v>
      </c>
    </row>
    <row r="15">
      <c r="A15" s="42" t="s">
        <v>2381</v>
      </c>
      <c r="B15" s="42">
        <v>2.0</v>
      </c>
    </row>
    <row r="16">
      <c r="A16" s="42" t="s">
        <v>2346</v>
      </c>
      <c r="B16" s="42">
        <v>3.0</v>
      </c>
    </row>
    <row r="17">
      <c r="A17" s="42" t="s">
        <v>2340</v>
      </c>
      <c r="B17" s="42">
        <v>1.0</v>
      </c>
      <c r="E17" s="42">
        <v>5.0</v>
      </c>
    </row>
    <row r="18">
      <c r="A18" s="42" t="s">
        <v>2382</v>
      </c>
      <c r="B18" s="42">
        <v>2.0</v>
      </c>
    </row>
    <row r="19">
      <c r="A19" s="42" t="s">
        <v>2383</v>
      </c>
      <c r="B19" s="42">
        <v>1.0</v>
      </c>
      <c r="C19" s="42" t="s">
        <v>2384</v>
      </c>
    </row>
    <row r="20">
      <c r="A20" s="42" t="s">
        <v>2385</v>
      </c>
      <c r="B20" s="42">
        <v>3.0</v>
      </c>
    </row>
    <row r="21">
      <c r="A21" s="42" t="s">
        <v>2373</v>
      </c>
      <c r="B21" s="42">
        <v>1.0</v>
      </c>
      <c r="C21" s="42" t="s">
        <v>2351</v>
      </c>
    </row>
    <row r="22">
      <c r="A22" s="42" t="s">
        <v>2352</v>
      </c>
      <c r="B22" s="42">
        <v>3.0</v>
      </c>
      <c r="G22" s="42" t="s">
        <v>2386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4" max="4" width="18.5"/>
  </cols>
  <sheetData>
    <row r="1">
      <c r="A1" s="131" t="s">
        <v>2174</v>
      </c>
      <c r="B1" s="131" t="s">
        <v>2356</v>
      </c>
      <c r="C1" s="131" t="s">
        <v>2357</v>
      </c>
      <c r="D1" s="131" t="s">
        <v>2358</v>
      </c>
      <c r="E1" s="131" t="s">
        <v>2359</v>
      </c>
      <c r="F1" s="131" t="s">
        <v>2360</v>
      </c>
      <c r="G1" s="131" t="s">
        <v>2361</v>
      </c>
    </row>
    <row r="2">
      <c r="A2" s="42" t="s">
        <v>2318</v>
      </c>
      <c r="B2" s="42">
        <v>0.0</v>
      </c>
      <c r="C2" s="42" t="s">
        <v>2387</v>
      </c>
      <c r="D2" s="42" t="s">
        <v>2388</v>
      </c>
    </row>
    <row r="3">
      <c r="A3" s="42" t="s">
        <v>2389</v>
      </c>
      <c r="B3" s="42">
        <v>1.5</v>
      </c>
      <c r="C3" s="42" t="s">
        <v>2322</v>
      </c>
    </row>
    <row r="4">
      <c r="A4" s="42" t="s">
        <v>2323</v>
      </c>
      <c r="B4" s="42">
        <v>1.5</v>
      </c>
      <c r="D4" s="42" t="s">
        <v>2390</v>
      </c>
      <c r="E4" s="42">
        <v>1.0</v>
      </c>
      <c r="F4" s="42" t="s">
        <v>2324</v>
      </c>
    </row>
    <row r="5">
      <c r="A5" s="42" t="s">
        <v>2325</v>
      </c>
      <c r="B5" s="42">
        <v>2.0</v>
      </c>
    </row>
    <row r="6">
      <c r="A6" s="42" t="s">
        <v>2326</v>
      </c>
      <c r="B6" s="42">
        <v>1.0</v>
      </c>
      <c r="C6" s="42" t="s">
        <v>2327</v>
      </c>
    </row>
    <row r="7">
      <c r="A7" s="42" t="s">
        <v>2329</v>
      </c>
      <c r="B7" s="42">
        <v>2.0</v>
      </c>
      <c r="D7" s="42" t="s">
        <v>2391</v>
      </c>
      <c r="E7" s="42">
        <v>2.0</v>
      </c>
    </row>
    <row r="8">
      <c r="A8" s="42" t="s">
        <v>2330</v>
      </c>
      <c r="B8" s="42">
        <v>1.5</v>
      </c>
      <c r="G8" s="42" t="s">
        <v>2362</v>
      </c>
    </row>
    <row r="9">
      <c r="A9" s="42" t="s">
        <v>2377</v>
      </c>
      <c r="B9" s="42">
        <v>1.5</v>
      </c>
    </row>
    <row r="10">
      <c r="A10" s="42" t="s">
        <v>2331</v>
      </c>
      <c r="B10" s="42">
        <v>1.0</v>
      </c>
      <c r="E10" s="42">
        <v>3.0</v>
      </c>
      <c r="F10" s="42" t="s">
        <v>2335</v>
      </c>
    </row>
    <row r="11">
      <c r="A11" s="42" t="s">
        <v>2336</v>
      </c>
      <c r="B11" s="42">
        <v>2.0</v>
      </c>
      <c r="C11" s="42" t="s">
        <v>2332</v>
      </c>
    </row>
    <row r="12">
      <c r="A12" s="42" t="s">
        <v>2334</v>
      </c>
      <c r="B12" s="42">
        <v>2.0</v>
      </c>
      <c r="E12" s="42">
        <v>4.0</v>
      </c>
    </row>
    <row r="13">
      <c r="A13" s="42" t="s">
        <v>2345</v>
      </c>
      <c r="B13" s="42">
        <v>1.5</v>
      </c>
      <c r="G13" s="42" t="s">
        <v>2338</v>
      </c>
    </row>
    <row r="14">
      <c r="A14" s="42" t="s">
        <v>2339</v>
      </c>
      <c r="B14" s="42">
        <v>1.5</v>
      </c>
    </row>
    <row r="15">
      <c r="A15" s="42" t="s">
        <v>2340</v>
      </c>
      <c r="B15" s="42">
        <v>1.0</v>
      </c>
      <c r="E15" s="42">
        <v>5.0</v>
      </c>
    </row>
    <row r="16">
      <c r="A16" s="42" t="s">
        <v>2347</v>
      </c>
      <c r="B16" s="42">
        <v>2.0</v>
      </c>
      <c r="C16" s="42" t="s">
        <v>2341</v>
      </c>
    </row>
    <row r="17">
      <c r="A17" s="42" t="s">
        <v>2343</v>
      </c>
      <c r="B17" s="42">
        <v>2.0</v>
      </c>
      <c r="E17" s="42">
        <v>6.0</v>
      </c>
      <c r="F17" s="42" t="s">
        <v>2344</v>
      </c>
    </row>
    <row r="18">
      <c r="A18" s="42" t="s">
        <v>2392</v>
      </c>
      <c r="B18" s="42">
        <v>2.0</v>
      </c>
    </row>
    <row r="19">
      <c r="A19" s="42" t="s">
        <v>2393</v>
      </c>
      <c r="B19" s="42">
        <v>1.0</v>
      </c>
      <c r="E19" s="42">
        <v>7.0</v>
      </c>
    </row>
    <row r="20">
      <c r="A20" s="42" t="s">
        <v>2382</v>
      </c>
      <c r="B20" s="42">
        <v>2.0</v>
      </c>
      <c r="C20" s="42" t="s">
        <v>2371</v>
      </c>
    </row>
    <row r="21">
      <c r="A21" s="42" t="s">
        <v>2372</v>
      </c>
      <c r="B21" s="42">
        <v>3.0</v>
      </c>
    </row>
    <row r="22">
      <c r="A22" s="42" t="s">
        <v>2373</v>
      </c>
      <c r="B22" s="42">
        <v>1.0</v>
      </c>
      <c r="C22" s="42" t="s">
        <v>2394</v>
      </c>
    </row>
    <row r="23">
      <c r="A23" s="42" t="s">
        <v>2352</v>
      </c>
      <c r="B23" s="42">
        <v>2.0</v>
      </c>
      <c r="E23" s="42" t="s">
        <v>2395</v>
      </c>
    </row>
    <row r="24">
      <c r="A24" s="42" t="s">
        <v>2355</v>
      </c>
      <c r="B24" s="42">
        <v>2.0</v>
      </c>
    </row>
    <row r="26">
      <c r="B26" s="33">
        <f>sum(B2:B25)</f>
        <v>37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4" max="4" width="21.25"/>
  </cols>
  <sheetData>
    <row r="1">
      <c r="A1" s="131" t="s">
        <v>2174</v>
      </c>
      <c r="B1" s="131" t="s">
        <v>2356</v>
      </c>
      <c r="C1" s="131" t="s">
        <v>2357</v>
      </c>
      <c r="D1" s="131" t="s">
        <v>2358</v>
      </c>
      <c r="E1" s="131" t="s">
        <v>2359</v>
      </c>
      <c r="F1" s="131" t="s">
        <v>2361</v>
      </c>
      <c r="G1" s="131" t="s">
        <v>2374</v>
      </c>
    </row>
    <row r="2">
      <c r="A2" s="42" t="s">
        <v>2318</v>
      </c>
      <c r="B2" s="42">
        <v>0.0</v>
      </c>
      <c r="C2" s="42" t="s">
        <v>2387</v>
      </c>
      <c r="D2" s="42" t="s">
        <v>2388</v>
      </c>
    </row>
    <row r="3">
      <c r="A3" s="42" t="s">
        <v>2389</v>
      </c>
      <c r="B3" s="42">
        <v>2.0</v>
      </c>
    </row>
    <row r="4">
      <c r="A4" s="42" t="s">
        <v>2326</v>
      </c>
      <c r="B4" s="42">
        <v>1.0</v>
      </c>
      <c r="D4" s="42" t="s">
        <v>2396</v>
      </c>
      <c r="E4" s="42">
        <v>1.0</v>
      </c>
    </row>
    <row r="5">
      <c r="A5" s="42" t="s">
        <v>2325</v>
      </c>
      <c r="B5" s="42">
        <v>2.0</v>
      </c>
      <c r="F5" s="42" t="s">
        <v>2362</v>
      </c>
    </row>
    <row r="6">
      <c r="A6" s="42" t="s">
        <v>2377</v>
      </c>
      <c r="B6" s="42">
        <v>2.0</v>
      </c>
      <c r="D6" s="42" t="s">
        <v>2397</v>
      </c>
      <c r="E6" s="42">
        <v>2.0</v>
      </c>
    </row>
    <row r="7">
      <c r="A7" s="42" t="s">
        <v>2330</v>
      </c>
      <c r="B7" s="42">
        <v>2.0</v>
      </c>
      <c r="C7" s="42" t="s">
        <v>2322</v>
      </c>
    </row>
    <row r="8">
      <c r="A8" s="42" t="s">
        <v>2323</v>
      </c>
      <c r="B8" s="42">
        <v>2.0</v>
      </c>
      <c r="C8" s="42" t="s">
        <v>2366</v>
      </c>
    </row>
    <row r="9">
      <c r="A9" s="42" t="s">
        <v>2367</v>
      </c>
      <c r="B9" s="42">
        <v>2.0</v>
      </c>
    </row>
    <row r="10">
      <c r="A10" s="42" t="s">
        <v>2331</v>
      </c>
      <c r="B10" s="42">
        <v>1.0</v>
      </c>
      <c r="D10" s="42" t="s">
        <v>2398</v>
      </c>
      <c r="F10" s="42" t="s">
        <v>2338</v>
      </c>
    </row>
    <row r="11">
      <c r="A11" s="42" t="s">
        <v>2339</v>
      </c>
      <c r="B11" s="42">
        <v>2.0</v>
      </c>
      <c r="E11" s="42">
        <v>3.0</v>
      </c>
    </row>
    <row r="12">
      <c r="A12" s="42" t="s">
        <v>2345</v>
      </c>
      <c r="B12" s="42">
        <v>2.0</v>
      </c>
      <c r="C12" s="42" t="s">
        <v>2368</v>
      </c>
    </row>
    <row r="13">
      <c r="A13" s="42" t="s">
        <v>2369</v>
      </c>
      <c r="B13" s="42">
        <v>2.0</v>
      </c>
      <c r="D13" s="42" t="s">
        <v>2399</v>
      </c>
      <c r="G13" s="42" t="s">
        <v>2380</v>
      </c>
    </row>
    <row r="14">
      <c r="A14" s="42" t="s">
        <v>2340</v>
      </c>
      <c r="B14" s="42">
        <v>1.0</v>
      </c>
      <c r="C14" s="42" t="s">
        <v>2341</v>
      </c>
    </row>
    <row r="15">
      <c r="A15" s="42" t="s">
        <v>2343</v>
      </c>
      <c r="B15" s="42">
        <v>3.0</v>
      </c>
      <c r="E15" s="42">
        <v>4.0</v>
      </c>
    </row>
    <row r="16">
      <c r="A16" s="42" t="s">
        <v>2336</v>
      </c>
      <c r="B16" s="42">
        <v>2.0</v>
      </c>
      <c r="C16" s="42" t="s">
        <v>2348</v>
      </c>
    </row>
    <row r="17">
      <c r="A17" s="42" t="s">
        <v>2349</v>
      </c>
      <c r="B17" s="42">
        <v>5.0</v>
      </c>
    </row>
    <row r="18">
      <c r="A18" s="42" t="s">
        <v>2373</v>
      </c>
      <c r="B18" s="42">
        <v>1.0</v>
      </c>
      <c r="C18" s="42" t="s">
        <v>2400</v>
      </c>
    </row>
    <row r="19">
      <c r="A19" s="42" t="s">
        <v>2401</v>
      </c>
      <c r="B19" s="42">
        <v>5.0</v>
      </c>
      <c r="G19" s="42" t="s">
        <v>2386</v>
      </c>
    </row>
    <row r="33">
      <c r="B33" s="33">
        <f>sum(B2:B32)</f>
        <v>37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5" t="s">
        <v>2402</v>
      </c>
      <c r="B1" s="42" t="s">
        <v>2403</v>
      </c>
      <c r="C1" s="42" t="s">
        <v>2404</v>
      </c>
    </row>
    <row r="2">
      <c r="A2" s="42" t="s">
        <v>2405</v>
      </c>
      <c r="B2" s="132">
        <v>45793.0</v>
      </c>
      <c r="C2" s="133">
        <f t="shared" ref="C2:C5" si="1">B2+42</f>
        <v>45835</v>
      </c>
    </row>
    <row r="3">
      <c r="A3" s="42" t="s">
        <v>2406</v>
      </c>
      <c r="B3" s="132">
        <v>45807.0</v>
      </c>
      <c r="C3" s="133">
        <f t="shared" si="1"/>
        <v>45849</v>
      </c>
    </row>
    <row r="4">
      <c r="A4" s="42" t="s">
        <v>2407</v>
      </c>
      <c r="B4" s="132">
        <v>45821.0</v>
      </c>
      <c r="C4" s="133">
        <f t="shared" si="1"/>
        <v>45863</v>
      </c>
    </row>
    <row r="5">
      <c r="A5" s="42" t="s">
        <v>58</v>
      </c>
      <c r="B5" s="132">
        <v>45835.0</v>
      </c>
      <c r="C5" s="133">
        <f t="shared" si="1"/>
        <v>45877</v>
      </c>
    </row>
    <row r="6">
      <c r="B6" s="132"/>
    </row>
    <row r="7">
      <c r="B7" s="132"/>
    </row>
    <row r="10">
      <c r="B10" s="132"/>
    </row>
    <row r="11">
      <c r="A11" s="42" t="s">
        <v>2407</v>
      </c>
      <c r="B11" s="132">
        <v>45849.0</v>
      </c>
      <c r="C11" s="133">
        <f t="shared" ref="C11:C12" si="2">B11+42</f>
        <v>45891</v>
      </c>
    </row>
    <row r="12">
      <c r="A12" s="42" t="s">
        <v>58</v>
      </c>
      <c r="B12" s="132">
        <v>45863.0</v>
      </c>
      <c r="C12" s="133">
        <f t="shared" si="2"/>
        <v>45905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21.63"/>
  </cols>
  <sheetData>
    <row r="1">
      <c r="A1" s="132">
        <v>45832.0</v>
      </c>
      <c r="B1" s="42" t="s">
        <v>2408</v>
      </c>
    </row>
    <row r="2">
      <c r="A2" s="132">
        <v>45833.0</v>
      </c>
      <c r="B2" s="42" t="s">
        <v>2409</v>
      </c>
    </row>
    <row r="3">
      <c r="A3" s="132">
        <v>45834.0</v>
      </c>
    </row>
    <row r="4">
      <c r="A4" s="132">
        <v>45835.0</v>
      </c>
    </row>
    <row r="5">
      <c r="A5" s="132">
        <v>45836.0</v>
      </c>
    </row>
    <row r="6">
      <c r="A6" s="132">
        <v>45837.0</v>
      </c>
    </row>
    <row r="7">
      <c r="A7" s="132">
        <v>45838.0</v>
      </c>
    </row>
    <row r="8">
      <c r="A8" s="132">
        <v>45839.0</v>
      </c>
    </row>
    <row r="9">
      <c r="A9" s="132">
        <v>45840.0</v>
      </c>
    </row>
    <row r="10">
      <c r="A10" s="132">
        <v>45841.0</v>
      </c>
    </row>
    <row r="11">
      <c r="A11" s="132">
        <v>45842.0</v>
      </c>
    </row>
    <row r="12">
      <c r="A12" s="132">
        <v>45843.0</v>
      </c>
    </row>
    <row r="13">
      <c r="A13" s="132">
        <v>45844.0</v>
      </c>
    </row>
    <row r="14">
      <c r="A14" s="132">
        <v>45845.0</v>
      </c>
      <c r="B14" s="42" t="s">
        <v>2410</v>
      </c>
      <c r="C14" s="42" t="s">
        <v>2411</v>
      </c>
      <c r="E14" s="42" t="s">
        <v>2412</v>
      </c>
    </row>
    <row r="15">
      <c r="A15" s="132">
        <v>45846.0</v>
      </c>
      <c r="B15" s="42" t="s">
        <v>2413</v>
      </c>
      <c r="C15" s="42" t="s">
        <v>2408</v>
      </c>
      <c r="E15" s="42" t="s">
        <v>2414</v>
      </c>
    </row>
    <row r="16">
      <c r="A16" s="132">
        <v>45847.0</v>
      </c>
      <c r="B16" s="105" t="s">
        <v>2415</v>
      </c>
      <c r="C16" s="42" t="s">
        <v>2416</v>
      </c>
      <c r="E16" s="42" t="s">
        <v>2414</v>
      </c>
    </row>
    <row r="17">
      <c r="A17" s="132">
        <v>45848.0</v>
      </c>
      <c r="B17" s="30" t="s">
        <v>2417</v>
      </c>
      <c r="E17" s="42" t="s">
        <v>2414</v>
      </c>
    </row>
    <row r="18">
      <c r="A18" s="132">
        <v>45849.0</v>
      </c>
      <c r="B18" s="42" t="s">
        <v>2418</v>
      </c>
      <c r="E18" s="42" t="s">
        <v>2414</v>
      </c>
    </row>
    <row r="19">
      <c r="A19" s="132">
        <v>45850.0</v>
      </c>
      <c r="B19" s="42" t="s">
        <v>2419</v>
      </c>
      <c r="E19" s="42" t="s">
        <v>2414</v>
      </c>
    </row>
    <row r="20">
      <c r="A20" s="132">
        <v>45851.0</v>
      </c>
      <c r="E20" s="42" t="s">
        <v>2414</v>
      </c>
      <c r="F20" s="42" t="s">
        <v>2420</v>
      </c>
    </row>
    <row r="21">
      <c r="A21" s="132">
        <v>45852.0</v>
      </c>
      <c r="B21" s="42" t="s">
        <v>2421</v>
      </c>
      <c r="E21" s="42" t="s">
        <v>2414</v>
      </c>
    </row>
    <row r="22">
      <c r="A22" s="132">
        <v>45853.0</v>
      </c>
      <c r="B22" s="42" t="s">
        <v>2422</v>
      </c>
      <c r="C22" s="42" t="s">
        <v>2423</v>
      </c>
      <c r="D22" s="42" t="s">
        <v>2418</v>
      </c>
      <c r="E22" s="42" t="s">
        <v>2414</v>
      </c>
    </row>
    <row r="23">
      <c r="A23" s="132">
        <v>45854.0</v>
      </c>
      <c r="E23" s="42" t="s">
        <v>2414</v>
      </c>
    </row>
    <row r="24">
      <c r="A24" s="132">
        <v>45855.0</v>
      </c>
      <c r="E24" s="42" t="s">
        <v>2414</v>
      </c>
      <c r="F24" s="42" t="s">
        <v>2421</v>
      </c>
    </row>
    <row r="25">
      <c r="A25" s="132">
        <v>45856.0</v>
      </c>
      <c r="B25" s="42" t="s">
        <v>2418</v>
      </c>
      <c r="E25" s="42" t="s">
        <v>2414</v>
      </c>
    </row>
    <row r="26">
      <c r="A26" s="132">
        <v>45857.0</v>
      </c>
      <c r="E26" s="42" t="s">
        <v>2414</v>
      </c>
    </row>
    <row r="27">
      <c r="A27" s="132">
        <v>45858.0</v>
      </c>
      <c r="E27" s="42" t="s">
        <v>2414</v>
      </c>
    </row>
    <row r="28">
      <c r="A28" s="132">
        <v>45859.0</v>
      </c>
      <c r="E28" s="42" t="s">
        <v>2414</v>
      </c>
    </row>
    <row r="29">
      <c r="A29" s="132">
        <v>45860.0</v>
      </c>
      <c r="B29" s="42" t="s">
        <v>2408</v>
      </c>
      <c r="E29" s="42" t="s">
        <v>2414</v>
      </c>
    </row>
    <row r="30">
      <c r="A30" s="132">
        <v>45861.0</v>
      </c>
      <c r="E30" s="42" t="s">
        <v>2414</v>
      </c>
    </row>
    <row r="31">
      <c r="A31" s="132">
        <v>45862.0</v>
      </c>
      <c r="E31" s="42" t="s">
        <v>2414</v>
      </c>
    </row>
    <row r="32">
      <c r="A32" s="132">
        <v>45863.0</v>
      </c>
      <c r="B32" s="35" t="s">
        <v>2424</v>
      </c>
      <c r="E32" s="42" t="s">
        <v>2414</v>
      </c>
    </row>
    <row r="33">
      <c r="A33" s="132">
        <v>45864.0</v>
      </c>
      <c r="B33" s="42" t="s">
        <v>2419</v>
      </c>
      <c r="E33" s="42" t="s">
        <v>2414</v>
      </c>
    </row>
    <row r="34">
      <c r="A34" s="132">
        <v>45865.0</v>
      </c>
      <c r="B34" s="30" t="s">
        <v>2417</v>
      </c>
      <c r="E34" s="42" t="s">
        <v>2414</v>
      </c>
    </row>
    <row r="35">
      <c r="A35" s="132">
        <v>45866.0</v>
      </c>
      <c r="B35" s="42" t="s">
        <v>2425</v>
      </c>
      <c r="E35" s="42" t="s">
        <v>2414</v>
      </c>
    </row>
    <row r="36">
      <c r="A36" s="132">
        <v>45867.0</v>
      </c>
      <c r="E36" s="42" t="s">
        <v>2414</v>
      </c>
    </row>
    <row r="37">
      <c r="A37" s="132">
        <v>45868.0</v>
      </c>
      <c r="E37" s="42" t="s">
        <v>2414</v>
      </c>
    </row>
    <row r="38">
      <c r="A38" s="132">
        <v>45869.0</v>
      </c>
      <c r="E38" s="42" t="s">
        <v>2414</v>
      </c>
    </row>
    <row r="39">
      <c r="A39" s="132">
        <v>45870.0</v>
      </c>
      <c r="E39" s="42" t="s">
        <v>2414</v>
      </c>
    </row>
    <row r="40">
      <c r="A40" s="132">
        <v>45871.0</v>
      </c>
      <c r="E40" s="42" t="s">
        <v>2414</v>
      </c>
    </row>
    <row r="41">
      <c r="A41" s="132">
        <v>45872.0</v>
      </c>
      <c r="E41" s="42" t="s">
        <v>2414</v>
      </c>
    </row>
    <row r="42">
      <c r="A42" s="132">
        <v>45873.0</v>
      </c>
      <c r="E42" s="42" t="s">
        <v>2414</v>
      </c>
    </row>
    <row r="43">
      <c r="A43" s="132">
        <v>45874.0</v>
      </c>
      <c r="B43" s="105" t="s">
        <v>2415</v>
      </c>
    </row>
    <row r="44">
      <c r="A44" s="132">
        <v>45875.0</v>
      </c>
    </row>
    <row r="45">
      <c r="A45" s="132">
        <v>45876.0</v>
      </c>
    </row>
    <row r="46">
      <c r="A46" s="132">
        <v>45877.0</v>
      </c>
    </row>
    <row r="47">
      <c r="A47" s="132">
        <v>45878.0</v>
      </c>
    </row>
    <row r="48">
      <c r="A48" s="132">
        <v>45879.0</v>
      </c>
    </row>
    <row r="49">
      <c r="A49" s="132">
        <v>45880.0</v>
      </c>
    </row>
    <row r="50">
      <c r="A50" s="132">
        <v>45881.0</v>
      </c>
    </row>
    <row r="51">
      <c r="A51" s="132">
        <v>45882.0</v>
      </c>
    </row>
    <row r="52">
      <c r="A52" s="132">
        <v>45883.0</v>
      </c>
    </row>
    <row r="53">
      <c r="A53" s="132">
        <v>45884.0</v>
      </c>
    </row>
    <row r="54">
      <c r="A54" s="132">
        <v>45885.0</v>
      </c>
    </row>
    <row r="55">
      <c r="A55" s="132">
        <v>45886.0</v>
      </c>
    </row>
    <row r="56">
      <c r="A56" s="132">
        <v>45887.0</v>
      </c>
    </row>
    <row r="57">
      <c r="A57" s="132">
        <v>45888.0</v>
      </c>
    </row>
    <row r="58">
      <c r="A58" s="132">
        <v>45889.0</v>
      </c>
    </row>
    <row r="59">
      <c r="A59" s="132">
        <v>45890.0</v>
      </c>
    </row>
    <row r="60">
      <c r="A60" s="132">
        <v>45891.0</v>
      </c>
    </row>
    <row r="61">
      <c r="A61" s="132">
        <v>45892.0</v>
      </c>
    </row>
  </sheetData>
  <drawing r:id="rId1"/>
</worksheet>
</file>